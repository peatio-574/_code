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1" activeTab="3" autoFilterDateGrouping="1"/>
  </bookViews>
  <sheets>
    <sheet name="平台分类颜色" sheetId="1" state="visible" r:id="rId1"/>
    <sheet name="提现记录" sheetId="2" state="visible" r:id="rId2"/>
    <sheet name="提现确认记录" sheetId="3" state="visible" r:id="rId3"/>
    <sheet name="日店铺可提现资金明细（可分配）" sheetId="4" state="visible" r:id="rId4"/>
    <sheet name="可提现银行卡收款" sheetId="5" state="visible" r:id="rId5"/>
    <sheet name="对公账号收款明细" sheetId="6" state="visible" r:id="rId6"/>
    <sheet name="汇总列示" sheetId="7" state="visible" r:id="rId7"/>
  </sheets>
  <definedNames/>
  <calcPr calcId="191029" fullCalcOnLoad="1"/>
  <pivotCaches>
    <pivotCache cacheId="0" r:id="rId8"/>
  </pivotCaches>
</workbook>
</file>

<file path=xl/styles.xml><?xml version="1.0" encoding="utf-8"?>
<styleSheet xmlns="http://schemas.openxmlformats.org/spreadsheetml/2006/main">
  <numFmts count="9">
    <numFmt numFmtId="164" formatCode="yyyy&quot;年&quot;m&quot;月&quot;d&quot;日&quot;;@"/>
    <numFmt numFmtId="165" formatCode="_ &quot;￥&quot;* #,##0.00_ ;_ &quot;￥&quot;* \-#,##0.00_ ;_ &quot;￥&quot;* &quot;-&quot;??_ ;_ @_ "/>
    <numFmt numFmtId="166" formatCode="_ * #,##0.00_ ;_ * \-#,##0.00_ ;_ * &quot;-&quot;??_ ;_ @_ "/>
    <numFmt numFmtId="167" formatCode="[DBNum2][$-804]General"/>
    <numFmt numFmtId="168" formatCode="0.00_ "/>
    <numFmt numFmtId="169" formatCode="yyyy&quot;年&quot;m&quot;月&quot;;@"/>
    <numFmt numFmtId="170" formatCode="m&quot;月&quot;d&quot;日&quot;;@"/>
    <numFmt numFmtId="171" formatCode="0_ "/>
    <numFmt numFmtId="172" formatCode="0;[Red]0"/>
  </numFmts>
  <fonts count="29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color theme="1"/>
      <sz val="10"/>
      <scheme val="minor"/>
    </font>
    <font>
      <name val="宋体"/>
      <charset val="134"/>
      <sz val="9"/>
      <scheme val="minor"/>
    </font>
    <font>
      <name val="宋体"/>
      <charset val="134"/>
      <sz val="10"/>
      <scheme val="minor"/>
    </font>
    <font>
      <name val="宋体"/>
      <charset val="134"/>
      <sz val="11"/>
      <scheme val="minor"/>
    </font>
    <font>
      <name val="宋体"/>
      <charset val="134"/>
      <color indexed="8"/>
      <sz val="11"/>
      <scheme val="minor"/>
    </font>
    <font>
      <name val="宋体"/>
      <charset val="134"/>
      <color theme="1"/>
      <sz val="9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sz val="9"/>
    </font>
    <font>
      <name val="宋体"/>
      <charset val="134"/>
      <sz val="9"/>
    </font>
  </fonts>
  <fills count="45">
    <fill>
      <patternFill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5" borderId="8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9" applyAlignment="1">
      <alignment vertical="center"/>
    </xf>
    <xf numFmtId="0" fontId="14" fillId="0" borderId="9" applyAlignment="1">
      <alignment vertical="center"/>
    </xf>
    <xf numFmtId="0" fontId="15" fillId="0" borderId="10" applyAlignment="1">
      <alignment vertical="center"/>
    </xf>
    <xf numFmtId="0" fontId="15" fillId="0" borderId="0" applyAlignment="1">
      <alignment vertical="center"/>
    </xf>
    <xf numFmtId="0" fontId="16" fillId="16" borderId="11" applyAlignment="1">
      <alignment vertical="center"/>
    </xf>
    <xf numFmtId="0" fontId="17" fillId="17" borderId="12" applyAlignment="1">
      <alignment vertical="center"/>
    </xf>
    <xf numFmtId="0" fontId="18" fillId="17" borderId="11" applyAlignment="1">
      <alignment vertical="center"/>
    </xf>
    <xf numFmtId="0" fontId="19" fillId="18" borderId="13" applyAlignment="1">
      <alignment vertical="center"/>
    </xf>
    <xf numFmtId="0" fontId="20" fillId="0" borderId="14" applyAlignment="1">
      <alignment vertical="center"/>
    </xf>
    <xf numFmtId="0" fontId="21" fillId="0" borderId="15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6" fillId="23" borderId="0" applyAlignment="1">
      <alignment vertical="center"/>
    </xf>
    <xf numFmtId="0" fontId="26" fillId="24" borderId="0" applyAlignment="1">
      <alignment vertical="center"/>
    </xf>
    <xf numFmtId="0" fontId="25" fillId="25" borderId="0" applyAlignment="1">
      <alignment vertical="center"/>
    </xf>
    <xf numFmtId="0" fontId="25" fillId="26" borderId="0" applyAlignment="1">
      <alignment vertical="center"/>
    </xf>
    <xf numFmtId="0" fontId="26" fillId="27" borderId="0" applyAlignment="1">
      <alignment vertical="center"/>
    </xf>
    <xf numFmtId="0" fontId="26" fillId="28" borderId="0" applyAlignment="1">
      <alignment vertical="center"/>
    </xf>
    <xf numFmtId="0" fontId="25" fillId="29" borderId="0" applyAlignment="1">
      <alignment vertical="center"/>
    </xf>
    <xf numFmtId="0" fontId="25" fillId="30" borderId="0" applyAlignment="1">
      <alignment vertical="center"/>
    </xf>
    <xf numFmtId="0" fontId="26" fillId="31" borderId="0" applyAlignment="1">
      <alignment vertical="center"/>
    </xf>
    <xf numFmtId="0" fontId="26" fillId="32" borderId="0" applyAlignment="1">
      <alignment vertical="center"/>
    </xf>
    <xf numFmtId="0" fontId="25" fillId="33" borderId="0" applyAlignment="1">
      <alignment vertical="center"/>
    </xf>
    <xf numFmtId="0" fontId="25" fillId="7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  <xf numFmtId="0" fontId="25" fillId="41" borderId="0" applyAlignment="1">
      <alignment vertical="center"/>
    </xf>
    <xf numFmtId="0" fontId="26" fillId="42" borderId="0" applyAlignment="1">
      <alignment vertical="center"/>
    </xf>
    <xf numFmtId="0" fontId="26" fillId="43" borderId="0" applyAlignment="1">
      <alignment vertical="center"/>
    </xf>
    <xf numFmtId="0" fontId="25" fillId="44" borderId="0" applyAlignment="1">
      <alignment vertical="center"/>
    </xf>
  </cellStyleXfs>
  <cellXfs count="109">
    <xf numFmtId="0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168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58" fontId="0" fillId="0" borderId="1" applyAlignment="1" pivotButton="0" quotePrefix="0" xfId="0">
      <alignment vertical="center"/>
    </xf>
    <xf numFmtId="168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169" fontId="4" fillId="8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166" fontId="2" fillId="0" borderId="1" applyAlignment="1" pivotButton="0" quotePrefix="0" xfId="0">
      <alignment horizontal="center" vertical="center"/>
    </xf>
    <xf numFmtId="170" fontId="2" fillId="0" borderId="1" applyAlignment="1" pivotButton="0" quotePrefix="0" xfId="0">
      <alignment horizontal="center" vertical="center" wrapText="1"/>
    </xf>
    <xf numFmtId="170" fontId="2" fillId="2" borderId="1" applyAlignment="1" pivotButton="0" quotePrefix="0" xfId="0">
      <alignment horizontal="center" vertical="center" wrapText="1"/>
    </xf>
    <xf numFmtId="166" fontId="0" fillId="2" borderId="1" applyAlignment="1" pivotButton="0" quotePrefix="0" xfId="0">
      <alignment horizontal="center" vertical="center" wrapText="1"/>
    </xf>
    <xf numFmtId="170" fontId="2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70" fontId="2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71" fontId="0" fillId="4" borderId="1" applyAlignment="1" pivotButton="0" quotePrefix="0" xfId="0">
      <alignment horizontal="center" vertical="center" wrapText="1"/>
    </xf>
    <xf numFmtId="172" fontId="0" fillId="4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8" fontId="0" fillId="5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58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14" fontId="7" fillId="0" borderId="1" applyAlignment="1" pivotButton="0" quotePrefix="0" xfId="0">
      <alignment horizontal="center" vertical="center"/>
    </xf>
    <xf numFmtId="166" fontId="7" fillId="0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11" borderId="0" applyAlignment="1" pivotButton="0" quotePrefix="0" xfId="0">
      <alignment vertical="center"/>
    </xf>
    <xf numFmtId="0" fontId="0" fillId="12" borderId="0" applyAlignment="1" pivotButton="0" quotePrefix="0" xfId="0">
      <alignment vertical="center"/>
    </xf>
    <xf numFmtId="0" fontId="0" fillId="13" borderId="0" applyAlignment="1" pivotButton="0" quotePrefix="0" xfId="0">
      <alignment vertical="center"/>
    </xf>
    <xf numFmtId="0" fontId="0" fillId="14" borderId="0" applyAlignment="1" pivotButton="0" quotePrefix="0" xfId="0">
      <alignment vertical="center"/>
    </xf>
    <xf numFmtId="0" fontId="0" fillId="0" borderId="0" pivotButton="0" quotePrefix="0" xfId="0"/>
    <xf numFmtId="166" fontId="7" fillId="0" borderId="1" applyAlignment="1" pivotButton="0" quotePrefix="0" xfId="0">
      <alignment horizontal="center" vertical="center" wrapText="1"/>
    </xf>
    <xf numFmtId="169" fontId="4" fillId="8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166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 wrapText="1"/>
    </xf>
    <xf numFmtId="166" fontId="2" fillId="0" borderId="1" applyAlignment="1" pivotButton="0" quotePrefix="0" xfId="0">
      <alignment horizontal="center" vertical="center"/>
    </xf>
    <xf numFmtId="170" fontId="2" fillId="0" borderId="1" applyAlignment="1" pivotButton="0" quotePrefix="0" xfId="0">
      <alignment horizontal="center" vertical="center" wrapText="1"/>
    </xf>
    <xf numFmtId="170" fontId="2" fillId="2" borderId="1" applyAlignment="1" pivotButton="0" quotePrefix="0" xfId="0">
      <alignment horizontal="center" vertical="center" wrapText="1"/>
    </xf>
    <xf numFmtId="166" fontId="0" fillId="2" borderId="1" applyAlignment="1" pivotButton="0" quotePrefix="0" xfId="0">
      <alignment horizontal="center" vertical="center" wrapText="1"/>
    </xf>
    <xf numFmtId="170" fontId="2" fillId="3" borderId="1" applyAlignment="1" pivotButton="0" quotePrefix="0" xfId="0">
      <alignment horizontal="center" vertical="center" wrapText="1"/>
    </xf>
    <xf numFmtId="166" fontId="0" fillId="3" borderId="1" applyAlignment="1" pivotButton="0" quotePrefix="0" xfId="0">
      <alignment horizontal="center" vertical="center" wrapText="1"/>
    </xf>
    <xf numFmtId="170" fontId="2" fillId="4" borderId="1" applyAlignment="1" pivotButton="0" quotePrefix="0" xfId="0">
      <alignment horizontal="center" vertical="center" wrapText="1"/>
    </xf>
    <xf numFmtId="166" fontId="0" fillId="4" borderId="1" applyAlignment="1" pivotButton="0" quotePrefix="0" xfId="0">
      <alignment horizontal="center" vertical="center" wrapText="1"/>
    </xf>
    <xf numFmtId="171" fontId="0" fillId="4" borderId="1" applyAlignment="1" pivotButton="0" quotePrefix="0" xfId="0">
      <alignment horizontal="center" vertical="center" wrapText="1"/>
    </xf>
    <xf numFmtId="172" fontId="0" fillId="4" borderId="1" applyAlignment="1" pivotButton="0" quotePrefix="0" xfId="0">
      <alignment horizontal="center" vertical="center" wrapText="1"/>
    </xf>
    <xf numFmtId="166" fontId="0" fillId="5" borderId="1" applyAlignment="1" pivotButton="0" quotePrefix="0" xfId="0">
      <alignment horizontal="center" vertical="center" wrapText="1"/>
    </xf>
    <xf numFmtId="168" fontId="0" fillId="5" borderId="1" applyAlignment="1" pivotButton="0" quotePrefix="0" xfId="0">
      <alignment horizontal="center" vertical="center" wrapText="1"/>
    </xf>
    <xf numFmtId="164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5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167" fontId="0" fillId="0" borderId="1" applyAlignment="1" pivotButton="0" quotePrefix="0" xfId="0">
      <alignment horizontal="center" vertical="center"/>
    </xf>
    <xf numFmtId="168" fontId="0" fillId="0" borderId="1" applyAlignment="1" pivotButton="0" quotePrefix="0" xfId="0">
      <alignment vertical="center" wrapText="1"/>
    </xf>
    <xf numFmtId="168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pivotCacheDefinition" Target="/xl/pivotCache/pivotCacheDefinition1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74428</author>
  </authors>
  <commentList>
    <comment ref="O10" authorId="0" shapeId="0">
      <text>
        <t>74428:
充值1万保证金</t>
      </text>
    </comment>
    <comment ref="Z23" authorId="0" shapeId="0">
      <text>
        <t>74428:
充值2500保证金</t>
      </text>
    </comment>
    <comment ref="M36" authorId="0" shapeId="0">
      <text>
        <t>74428:
5-8日提现41000元</t>
      </text>
    </comment>
    <comment ref="W36" authorId="0" shapeId="0">
      <text>
        <t>74428:
260515提现金额：40000元</t>
      </text>
    </comment>
    <comment ref="I37" authorId="0" shapeId="0">
      <text>
        <t>74428:
旧主体待结算</t>
      </text>
    </comment>
    <comment ref="L37" authorId="0" shapeId="0">
      <text>
        <t xml:space="preserve">74428:
旧主体待结算
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74428" refreshedDate="46162.7038310185" createdVersion="5" refreshedVersion="5" minRefreshableVersion="3" recordCount="20" r:id="rId1">
  <cacheSource type="worksheet">
    <worksheetSource ref="A2:E22" sheet="汇总列示"/>
  </cacheSource>
  <cacheFields count="5">
    <cacheField name="分类" uniqueList="1" numFmtId="0" sqlType="0" hierarchy="0" level="0" databaseField="1">
      <sharedItems count="2">
        <s v="平台"/>
        <s v="基本户"/>
      </sharedItems>
    </cacheField>
    <cacheField name="账号信息" uniqueList="1" numFmtId="0" sqlType="0" hierarchy="0" level="0" databaseField="1">
      <sharedItems count="17" containsBlank="1">
        <s v="周振豪"/>
        <m/>
        <s v="杨玉英"/>
        <s v="周景迁"/>
        <s v="杨丽燕"/>
        <s v="郭海莹"/>
        <s v="王琳"/>
        <s v="周振民"/>
        <s v="王琴"/>
        <s v="珠海市喵范电子商务有限公司"/>
        <s v="珠海市喵呜潮玩文化创意有限公司"/>
        <s v="珠海市绒绒岛潮玩文化有限公司"/>
        <s v="深圳市奶油免电子商务有限公司"/>
        <s v="珠海市喵趣文化创意有限公司"/>
        <s v="珠海市星序科技有限公司"/>
        <s v="珠海市三棉潮玩文化有限公司"/>
        <s v="深圳市萌造社文化创意有限公司"/>
      </sharedItems>
    </cacheField>
    <cacheField name="银行信息" uniqueList="1" numFmtId="0" sqlType="0" hierarchy="0" level="0" databaseField="1">
      <sharedItems count="11">
        <s v="工商银行(8818)"/>
        <s v="建设银行(7260)"/>
        <s v="邮政储蓄银行(0437）"/>
        <s v="建设银行(8680)"/>
        <s v="农业银行（8379）"/>
        <s v="中国银行(2440)"/>
        <s v="招商银行（9493）"/>
        <s v="工商银行(6496)"/>
        <s v="建设银行（8426）"/>
        <s v="基本户"/>
        <s v="公户"/>
      </sharedItems>
    </cacheField>
    <cacheField name="可提现金额" uniqueList="1" numFmtId="44" sqlType="0" hierarchy="0" level="0" databaseField="1">
      <sharedItems count="17" containsNumber="1" containsSemiMixedTypes="0" containsString="0" minValue="0" maxValue="295281.12">
        <n v="46771.4029999998"/>
        <n v="272189.94"/>
        <n v="295281.12"/>
        <n v="20578.07"/>
        <n v="46166.3"/>
        <n v="2765.25999999991"/>
        <n v="89258.71000000001"/>
        <n v="850.5599999999999"/>
        <n v="0"/>
        <n v="40370.1299999993"/>
        <n v="24335.28"/>
        <n v="33648.68"/>
        <n v="14691.08"/>
        <n v="565.75"/>
        <n v="5603.21000000002"/>
        <n v="22.63"/>
        <n v="1872.9"/>
      </sharedItems>
    </cacheField>
    <cacheField name="备注" uniqueList="1" numFmtId="0" sqlType="0" hierarchy="0" level="0" databaseField="1">
      <sharedItems count="2" containsBlank="1">
        <m/>
        <s v="未开通账号"/>
      </sharedItems>
    </cacheField>
  </cacheFields>
</pivotCacheDefinition>
</file>

<file path=xl/pivotCache/pivotCacheRecords1.xml><?xml version="1.0" encoding="utf-8"?>
<pivotCacheRecords xmlns="http://schemas.openxmlformats.org/spreadsheetml/2006/main" count="20"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  <r>
    <x v="4294967295"/>
    <x v="4294967295"/>
    <x v="4294967295"/>
    <x v="4294967295"/>
    <x v="4294967295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数据透视表31" cacheId="0" dataOnRows="0" dataCaption="值" showError="0" showMissing="1" updatedVersion="5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0" mergeItem="0" showDropZones="1" createdVersion="5" indent="0" showEmptyRow="0" showEmptyCol="0" showHeaders="1" compact="0" outline="1" outlineData="1" compactData="0" published="0" gridDropZones="0" immersive="1" multipleFieldFilters="0" chartFormat="0" fieldListSortAscending="0" mdxSubqueries="0" autoFormatId="1" applyNumberFormats="0" applyBorderFormats="0" applyFontFormats="0" applyPatternFormats="0" applyAlignmentFormats="0" applyWidthHeightFormats="1" r:id="rId1">
  <location ref="B25:C28" firstHeaderRow="1" firstDataRow="1" firstDataCol="1"/>
  <pivotFields count="5">
    <pivotField axis="axisRow" showDropDowns="1" compact="0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  <pivotField showDropDowns="1" compact="0" outline="1" subtotalTop="1" dragToRow="1" dragToCol="1" dragToPage="1" dragToData="1" dragOff="1" showAll="0" topAutoShow="1" itemPageCount="10" sortType="manual" defaultSubtotal="1"/>
    <pivotField dataField="1" showDropDowns="1" compact="0" numFmtId="44" outline="1" subtotalTop="1" dragToRow="1" dragToCol="1" dragToPage="1" dragToData="1" dragOff="1" showAll="0" topAutoShow="1" itemPageCount="10" sortType="manual" defaultSubtotal="1">
      <items count="18">
        <item t="data" sd="1" x="8"/>
        <item t="data" sd="1" x="15"/>
        <item t="data" sd="1" x="13"/>
        <item t="data" sd="1" x="7"/>
        <item t="data" sd="1" x="16"/>
        <item t="data" sd="1" x="5"/>
        <item t="data" sd="1" x="14"/>
        <item t="data" sd="1" x="12"/>
        <item t="data" sd="1" x="3"/>
        <item t="data" sd="1" x="10"/>
        <item t="data" sd="1" x="11"/>
        <item t="data" sd="1" x="9"/>
        <item t="data" sd="1" x="4"/>
        <item t="data" sd="1" x="0"/>
        <item t="data" sd="1" x="6"/>
        <item t="data" sd="1" x="1"/>
        <item t="data" sd="1" x="2"/>
        <item t="default" sd="1"/>
      </items>
    </pivotField>
    <pivotField showDropDowns="1" compact="0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3">
    <i t="data" r="0" i="0">
      <x v="0"/>
    </i>
    <i t="data" r="0" i="0">
      <x v="1"/>
    </i>
    <i t="grand" r="0" i="0">
      <x v="0"/>
    </i>
  </rowItems>
  <colItems count="1">
    <i t="data" r="0" i="0"/>
  </colItems>
  <dataFields count="1">
    <dataField name="求和项:可提现金额" fld="3" subtotal="sum" showDataAs="normal" baseField="0" baseItem="0" numFmtId="178"/>
  </dataFields>
  <pivotTableStyleInfo name="PivotStylePreset2_Accent1" showRowHeaders="1" showColHeaders="1" showRowStripes="0" showColStripes="0" showLastColumn="0"/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zoomScale="70" zoomScaleNormal="70"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F10" sqref="F10"/>
    </sheetView>
  </sheetViews>
  <sheetFormatPr baseColWidth="8" defaultColWidth="9.025" defaultRowHeight="13.5" outlineLevelRow="5" outlineLevelCol="0"/>
  <cols>
    <col width="14.2333333333333" customWidth="1" style="82" min="1" max="1"/>
  </cols>
  <sheetData>
    <row r="1">
      <c r="A1" s="0" t="inlineStr">
        <is>
          <t>平台</t>
        </is>
      </c>
      <c r="B1" s="0" t="inlineStr">
        <is>
          <t>标色分类</t>
        </is>
      </c>
    </row>
    <row r="2">
      <c r="A2" s="0" t="inlineStr">
        <is>
          <t>微店</t>
        </is>
      </c>
      <c r="B2" s="77" t="n"/>
    </row>
    <row r="3">
      <c r="A3" s="0" t="inlineStr">
        <is>
          <t>小红书</t>
        </is>
      </c>
      <c r="B3" s="78" t="n"/>
    </row>
    <row r="4">
      <c r="A4" s="0" t="inlineStr">
        <is>
          <t>抖店</t>
        </is>
      </c>
      <c r="B4" s="79" t="n"/>
    </row>
    <row r="5">
      <c r="A5" s="0" t="inlineStr">
        <is>
          <t>淘宝</t>
        </is>
      </c>
      <c r="B5" s="80" t="n"/>
    </row>
    <row r="6">
      <c r="A6" s="0" t="inlineStr">
        <is>
          <t>拼多多</t>
        </is>
      </c>
      <c r="B6" s="81" t="n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workbookViewId="0">
      <pane xSplit="1" ySplit="2" topLeftCell="B3" activePane="bottomRight" state="frozen"/>
      <selection activeCell="A1" sqref="A1"/>
      <selection pane="topRight" activeCell="A1" sqref="A1"/>
      <selection pane="bottomLeft" activeCell="A1" sqref="A1"/>
      <selection pane="bottomRight" activeCell="H28" sqref="H28:AL28"/>
    </sheetView>
  </sheetViews>
  <sheetFormatPr baseColWidth="8" defaultColWidth="9.025" defaultRowHeight="11.25" outlineLevelCol="0"/>
  <cols>
    <col width="13.4333333333333" customWidth="1" style="69" min="1" max="1"/>
    <col width="11.1" customWidth="1" style="70" min="2" max="2"/>
    <col width="9.025" customWidth="1" style="70" min="3" max="5"/>
    <col width="11.725" customWidth="1" style="70" min="6" max="6"/>
    <col width="9.025" customWidth="1" style="70" min="7" max="9"/>
    <col width="11.1" customWidth="1" style="70" min="10" max="10"/>
    <col width="9.025" customWidth="1" style="70" min="11" max="15"/>
    <col width="11.1" customWidth="1" style="70" min="16" max="16"/>
    <col width="9.375" customWidth="1" style="70" min="17" max="18"/>
    <col width="10.1666666666667" customWidth="1" style="70" min="19" max="20"/>
    <col width="9.375" customWidth="1" style="70" min="21" max="21"/>
    <col width="10.1666666666667" customWidth="1" style="70" min="22" max="22"/>
    <col width="9.025" customWidth="1" style="70" min="23" max="23"/>
    <col width="10.1666666666667" customWidth="1" style="70" min="24" max="24"/>
    <col width="9.025" customWidth="1" style="70" min="25" max="32"/>
    <col width="11.1" customWidth="1" style="70" min="33" max="33"/>
    <col width="9.025" customWidth="1" style="70" min="34" max="38"/>
    <col width="9.025" customWidth="1" style="68" min="39" max="16384"/>
  </cols>
  <sheetData>
    <row r="1" ht="22.5" customFormat="1" customHeight="1" s="68">
      <c r="A1" s="71" t="inlineStr">
        <is>
          <t>店铺提现日期</t>
        </is>
      </c>
      <c r="B1" s="72" t="inlineStr">
        <is>
          <t>Wawa小厨的店</t>
        </is>
      </c>
      <c r="C1" s="73" t="inlineStr">
        <is>
          <t>wawa同人社的店</t>
        </is>
      </c>
      <c r="D1" s="73" t="inlineStr">
        <is>
          <t>WAWA同人社</t>
        </is>
      </c>
      <c r="E1" s="73" t="inlineStr">
        <is>
          <t>wawa同人社</t>
        </is>
      </c>
      <c r="F1" s="73" t="inlineStr">
        <is>
          <t>wawa同人社</t>
        </is>
      </c>
      <c r="G1" s="73" t="inlineStr">
        <is>
          <t>wawa同人社</t>
        </is>
      </c>
      <c r="H1" s="73" t="inlineStr">
        <is>
          <t>Meow meow</t>
        </is>
      </c>
      <c r="I1" s="73" t="inlineStr">
        <is>
          <t>Meow meow</t>
        </is>
      </c>
      <c r="J1" s="73" t="inlineStr">
        <is>
          <t>Meow市集</t>
        </is>
      </c>
      <c r="K1" s="73" t="inlineStr">
        <is>
          <t>Meow市集</t>
        </is>
      </c>
      <c r="L1" s="73" t="inlineStr">
        <is>
          <t>Meow市集</t>
        </is>
      </c>
      <c r="M1" s="73" t="inlineStr">
        <is>
          <t>MEOW市集</t>
        </is>
      </c>
      <c r="N1" s="73" t="inlineStr">
        <is>
          <t>甜心花栗</t>
        </is>
      </c>
      <c r="O1" s="73" t="inlineStr">
        <is>
          <t>小马娃社</t>
        </is>
      </c>
      <c r="P1" s="73" t="inlineStr">
        <is>
          <t>甜心花栗的店</t>
        </is>
      </c>
      <c r="Q1" s="73" t="inlineStr">
        <is>
          <t>也困</t>
        </is>
      </c>
      <c r="R1" s="73" t="inlineStr">
        <is>
          <t>也困微店</t>
        </is>
      </c>
      <c r="S1" s="73" t="inlineStr">
        <is>
          <t>海盐泡泡</t>
        </is>
      </c>
      <c r="T1" s="73" t="inlineStr">
        <is>
          <t>脑细胞仓库</t>
        </is>
      </c>
      <c r="U1" s="73" t="inlineStr">
        <is>
          <t>脑细胞仓库</t>
        </is>
      </c>
      <c r="V1" s="73" t="inlineStr">
        <is>
          <t>什么羊</t>
        </is>
      </c>
      <c r="W1" s="73" t="inlineStr">
        <is>
          <t>奶油兔司CreamyBunny</t>
        </is>
      </c>
      <c r="X1" s="73" t="inlineStr">
        <is>
          <t>奶油兔司CreamyBunny</t>
        </is>
      </c>
      <c r="Y1" s="73" t="inlineStr">
        <is>
          <t>海苔不睡</t>
        </is>
      </c>
      <c r="Z1" s="73" t="inlineStr">
        <is>
          <t>海苔不睡</t>
        </is>
      </c>
      <c r="AA1" s="73" t="inlineStr">
        <is>
          <t>来一口大米饭</t>
        </is>
      </c>
      <c r="AB1" s="73" t="inlineStr">
        <is>
          <t>来口大米饭</t>
        </is>
      </c>
      <c r="AC1" s="73" t="inlineStr">
        <is>
          <t>来口大米饭</t>
        </is>
      </c>
      <c r="AD1" s="73" t="inlineStr">
        <is>
          <t>来口大米饭</t>
        </is>
      </c>
      <c r="AE1" s="73" t="inlineStr">
        <is>
          <t>洋葱鼠鼠咪</t>
        </is>
      </c>
      <c r="AF1" s="73" t="inlineStr">
        <is>
          <t>猫猫布丁</t>
        </is>
      </c>
      <c r="AG1" s="73" t="inlineStr">
        <is>
          <t>猫屿物语</t>
        </is>
      </c>
      <c r="AH1" s="73" t="inlineStr">
        <is>
          <t>猫屿物语</t>
        </is>
      </c>
      <c r="AI1" s="73" t="inlineStr">
        <is>
          <t>猫屿物语</t>
        </is>
      </c>
      <c r="AJ1" s="73" t="inlineStr">
        <is>
          <t>猫屿物语</t>
        </is>
      </c>
      <c r="AK1" s="73" t="inlineStr">
        <is>
          <t>玻璃海</t>
        </is>
      </c>
      <c r="AL1" s="73" t="inlineStr">
        <is>
          <t>玻璃喵</t>
        </is>
      </c>
    </row>
    <row r="2" customFormat="1" s="68">
      <c r="A2" s="74" t="inlineStr">
        <is>
          <t>平台</t>
        </is>
      </c>
      <c r="B2" s="73" t="inlineStr">
        <is>
          <t>小红书</t>
        </is>
      </c>
      <c r="C2" s="73" t="inlineStr">
        <is>
          <t>小红书</t>
        </is>
      </c>
      <c r="D2" s="73" t="inlineStr">
        <is>
          <t>微店</t>
        </is>
      </c>
      <c r="E2" s="73" t="inlineStr">
        <is>
          <t>拼多多</t>
        </is>
      </c>
      <c r="F2" s="73" t="inlineStr">
        <is>
          <t>抖店</t>
        </is>
      </c>
      <c r="G2" s="73" t="inlineStr">
        <is>
          <t>淘宝</t>
        </is>
      </c>
      <c r="H2" s="73" t="inlineStr">
        <is>
          <t>抖店</t>
        </is>
      </c>
      <c r="I2" s="73" t="inlineStr">
        <is>
          <t>小红书</t>
        </is>
      </c>
      <c r="J2" s="73" t="inlineStr">
        <is>
          <t>小红书</t>
        </is>
      </c>
      <c r="K2" s="73" t="inlineStr">
        <is>
          <t>抖店</t>
        </is>
      </c>
      <c r="L2" s="73" t="inlineStr">
        <is>
          <t>微店</t>
        </is>
      </c>
      <c r="M2" s="73" t="inlineStr">
        <is>
          <t>淘宝</t>
        </is>
      </c>
      <c r="N2" s="73" t="inlineStr">
        <is>
          <t>抖店</t>
        </is>
      </c>
      <c r="O2" s="73" t="inlineStr">
        <is>
          <t>微店</t>
        </is>
      </c>
      <c r="P2" s="73" t="inlineStr">
        <is>
          <t>小红书</t>
        </is>
      </c>
      <c r="Q2" s="73" t="inlineStr">
        <is>
          <t>小红书</t>
        </is>
      </c>
      <c r="R2" s="73" t="inlineStr">
        <is>
          <t>微店</t>
        </is>
      </c>
      <c r="S2" s="73" t="inlineStr">
        <is>
          <t>微店</t>
        </is>
      </c>
      <c r="T2" s="73" t="inlineStr">
        <is>
          <t>小红书</t>
        </is>
      </c>
      <c r="U2" s="73" t="inlineStr">
        <is>
          <t>微店</t>
        </is>
      </c>
      <c r="V2" s="73" t="inlineStr">
        <is>
          <t>微店</t>
        </is>
      </c>
      <c r="W2" s="73" t="inlineStr">
        <is>
          <t>微店</t>
        </is>
      </c>
      <c r="X2" s="73" t="inlineStr">
        <is>
          <t>小红书</t>
        </is>
      </c>
      <c r="Y2" s="73" t="inlineStr">
        <is>
          <t>小红书</t>
        </is>
      </c>
      <c r="Z2" s="73" t="inlineStr">
        <is>
          <t>抖店</t>
        </is>
      </c>
      <c r="AA2" s="73" t="inlineStr">
        <is>
          <t>微店</t>
        </is>
      </c>
      <c r="AB2" s="73" t="inlineStr">
        <is>
          <t>小红书</t>
        </is>
      </c>
      <c r="AC2" s="73" t="inlineStr">
        <is>
          <t>抖店</t>
        </is>
      </c>
      <c r="AD2" s="73" t="inlineStr">
        <is>
          <t>淘宝</t>
        </is>
      </c>
      <c r="AE2" s="73" t="inlineStr">
        <is>
          <t>小红书</t>
        </is>
      </c>
      <c r="AF2" s="73" t="inlineStr">
        <is>
          <t>微店</t>
        </is>
      </c>
      <c r="AG2" s="73" t="inlineStr">
        <is>
          <t>小红书</t>
        </is>
      </c>
      <c r="AH2" s="73" t="inlineStr">
        <is>
          <t>微店</t>
        </is>
      </c>
      <c r="AI2" s="73" t="inlineStr">
        <is>
          <t>拼多多</t>
        </is>
      </c>
      <c r="AJ2" s="73" t="inlineStr">
        <is>
          <t>淘宝</t>
        </is>
      </c>
      <c r="AK2" s="73" t="inlineStr">
        <is>
          <t>微店</t>
        </is>
      </c>
      <c r="AL2" s="73" t="inlineStr">
        <is>
          <t>微店</t>
        </is>
      </c>
    </row>
    <row r="3" customFormat="1" s="68">
      <c r="A3" s="74" t="n">
        <v>46143</v>
      </c>
      <c r="B3" s="83" t="n">
        <v>0</v>
      </c>
      <c r="C3" s="83" t="n">
        <v>0</v>
      </c>
      <c r="D3" s="83" t="n">
        <v>0</v>
      </c>
      <c r="E3" s="83" t="n">
        <v>0</v>
      </c>
      <c r="F3" s="83" t="n">
        <v>0</v>
      </c>
      <c r="G3" s="83" t="n">
        <v>0</v>
      </c>
      <c r="H3" s="83" t="n">
        <v>0</v>
      </c>
      <c r="I3" s="83" t="n">
        <v>0</v>
      </c>
      <c r="J3" s="83" t="n">
        <v>0</v>
      </c>
      <c r="K3" s="83" t="n">
        <v>0</v>
      </c>
      <c r="L3" s="83" t="n">
        <v>0</v>
      </c>
      <c r="M3" s="83" t="n">
        <v>0</v>
      </c>
      <c r="N3" s="83" t="n">
        <v>0</v>
      </c>
      <c r="O3" s="83" t="n">
        <v>0</v>
      </c>
      <c r="P3" s="83" t="n">
        <v>0</v>
      </c>
      <c r="Q3" s="83" t="n">
        <v>0</v>
      </c>
      <c r="R3" s="83" t="n">
        <v>0</v>
      </c>
      <c r="S3" s="83" t="n">
        <v>0</v>
      </c>
      <c r="T3" s="83" t="n">
        <v>0</v>
      </c>
      <c r="U3" s="83" t="n">
        <v>0</v>
      </c>
      <c r="V3" s="83" t="n">
        <v>0</v>
      </c>
      <c r="W3" s="83" t="n">
        <v>0</v>
      </c>
      <c r="X3" s="83" t="n">
        <v>0</v>
      </c>
      <c r="Y3" s="83" t="n">
        <v>0</v>
      </c>
      <c r="Z3" s="83" t="n">
        <v>0</v>
      </c>
      <c r="AA3" s="83" t="n">
        <v>0</v>
      </c>
      <c r="AB3" s="83" t="n">
        <v>0</v>
      </c>
      <c r="AC3" s="83" t="n">
        <v>0</v>
      </c>
      <c r="AD3" s="83" t="n">
        <v>0</v>
      </c>
      <c r="AE3" s="83" t="n">
        <v>0</v>
      </c>
      <c r="AF3" s="83" t="n">
        <v>0</v>
      </c>
      <c r="AG3" s="83" t="n">
        <v>0</v>
      </c>
      <c r="AH3" s="83" t="n">
        <v>0</v>
      </c>
      <c r="AI3" s="83" t="n">
        <v>0</v>
      </c>
      <c r="AJ3" s="83" t="n">
        <v>0</v>
      </c>
      <c r="AK3" s="83" t="n">
        <v>0</v>
      </c>
      <c r="AL3" s="83" t="n">
        <v>0</v>
      </c>
    </row>
    <row r="4" customFormat="1" s="68">
      <c r="A4" s="74" t="n">
        <v>46144</v>
      </c>
      <c r="B4" s="83" t="n">
        <v>0</v>
      </c>
      <c r="C4" s="83" t="n">
        <v>0</v>
      </c>
      <c r="D4" s="83" t="n">
        <v>0</v>
      </c>
      <c r="E4" s="83" t="n">
        <v>0</v>
      </c>
      <c r="F4" s="83" t="n">
        <v>0</v>
      </c>
      <c r="G4" s="83" t="n">
        <v>0</v>
      </c>
      <c r="H4" s="83" t="n">
        <v>0</v>
      </c>
      <c r="I4" s="83" t="n">
        <v>0</v>
      </c>
      <c r="J4" s="83" t="n">
        <v>0</v>
      </c>
      <c r="K4" s="83" t="n">
        <v>0</v>
      </c>
      <c r="L4" s="83" t="n">
        <v>0</v>
      </c>
      <c r="M4" s="83" t="n">
        <v>0</v>
      </c>
      <c r="N4" s="83" t="n">
        <v>0</v>
      </c>
      <c r="O4" s="83" t="n">
        <v>0</v>
      </c>
      <c r="P4" s="83" t="n">
        <v>0</v>
      </c>
      <c r="Q4" s="83" t="n">
        <v>0</v>
      </c>
      <c r="R4" s="83" t="n">
        <v>0</v>
      </c>
      <c r="S4" s="83" t="n">
        <v>0</v>
      </c>
      <c r="T4" s="83" t="n">
        <v>0</v>
      </c>
      <c r="U4" s="83" t="n">
        <v>0</v>
      </c>
      <c r="V4" s="83" t="n">
        <v>0</v>
      </c>
      <c r="W4" s="83" t="n">
        <v>0</v>
      </c>
      <c r="X4" s="83" t="n">
        <v>0</v>
      </c>
      <c r="Y4" s="83" t="n">
        <v>0</v>
      </c>
      <c r="Z4" s="83" t="n">
        <v>0</v>
      </c>
      <c r="AA4" s="83" t="n">
        <v>0</v>
      </c>
      <c r="AB4" s="83" t="n">
        <v>0</v>
      </c>
      <c r="AC4" s="83" t="n">
        <v>0</v>
      </c>
      <c r="AD4" s="83" t="n">
        <v>0</v>
      </c>
      <c r="AE4" s="83" t="n">
        <v>0</v>
      </c>
      <c r="AF4" s="83" t="n">
        <v>0</v>
      </c>
      <c r="AG4" s="83" t="n">
        <v>0</v>
      </c>
      <c r="AH4" s="83" t="n">
        <v>0</v>
      </c>
      <c r="AI4" s="83" t="n">
        <v>0</v>
      </c>
      <c r="AJ4" s="83" t="n">
        <v>0</v>
      </c>
      <c r="AK4" s="83" t="n">
        <v>0</v>
      </c>
      <c r="AL4" s="83" t="n">
        <v>0</v>
      </c>
    </row>
    <row r="5" customFormat="1" s="68">
      <c r="A5" s="74" t="n">
        <v>46145</v>
      </c>
      <c r="B5" s="83" t="n">
        <v>0</v>
      </c>
      <c r="C5" s="83" t="n">
        <v>0</v>
      </c>
      <c r="D5" s="83" t="n">
        <v>0</v>
      </c>
      <c r="E5" s="83" t="n">
        <v>0</v>
      </c>
      <c r="F5" s="83" t="n">
        <v>0</v>
      </c>
      <c r="G5" s="83" t="n">
        <v>0</v>
      </c>
      <c r="H5" s="83" t="n">
        <v>0</v>
      </c>
      <c r="I5" s="83" t="n">
        <v>0</v>
      </c>
      <c r="J5" s="83" t="n">
        <v>0</v>
      </c>
      <c r="K5" s="83" t="n">
        <v>0</v>
      </c>
      <c r="L5" s="83" t="n">
        <v>0</v>
      </c>
      <c r="M5" s="83" t="n">
        <v>0</v>
      </c>
      <c r="N5" s="83" t="n">
        <v>0</v>
      </c>
      <c r="O5" s="83" t="n">
        <v>0</v>
      </c>
      <c r="P5" s="83" t="n">
        <v>0</v>
      </c>
      <c r="Q5" s="83" t="n">
        <v>0</v>
      </c>
      <c r="R5" s="83" t="n">
        <v>0</v>
      </c>
      <c r="S5" s="83" t="n">
        <v>0</v>
      </c>
      <c r="T5" s="83" t="n">
        <v>0</v>
      </c>
      <c r="U5" s="83" t="n">
        <v>0</v>
      </c>
      <c r="V5" s="83" t="n">
        <v>0</v>
      </c>
      <c r="W5" s="83" t="n">
        <v>0</v>
      </c>
      <c r="X5" s="83" t="n">
        <v>0</v>
      </c>
      <c r="Y5" s="83" t="n">
        <v>0</v>
      </c>
      <c r="Z5" s="83" t="n">
        <v>0</v>
      </c>
      <c r="AA5" s="83" t="n">
        <v>0</v>
      </c>
      <c r="AB5" s="83" t="n">
        <v>0</v>
      </c>
      <c r="AC5" s="83" t="n">
        <v>0</v>
      </c>
      <c r="AD5" s="83" t="n">
        <v>0</v>
      </c>
      <c r="AE5" s="83" t="n">
        <v>0</v>
      </c>
      <c r="AF5" s="83" t="n">
        <v>0</v>
      </c>
      <c r="AG5" s="83" t="n">
        <v>0</v>
      </c>
      <c r="AH5" s="83" t="n">
        <v>0</v>
      </c>
      <c r="AI5" s="83" t="n">
        <v>0</v>
      </c>
      <c r="AJ5" s="83" t="n">
        <v>0</v>
      </c>
      <c r="AK5" s="83" t="n">
        <v>0</v>
      </c>
      <c r="AL5" s="83" t="n">
        <v>0</v>
      </c>
    </row>
    <row r="6" customFormat="1" s="68">
      <c r="A6" s="74" t="n">
        <v>46146</v>
      </c>
      <c r="B6" s="83" t="n">
        <v>24930.63</v>
      </c>
      <c r="C6" s="83" t="n">
        <v>0</v>
      </c>
      <c r="D6" s="83" t="n">
        <v>0</v>
      </c>
      <c r="E6" s="83" t="n">
        <v>0</v>
      </c>
      <c r="F6" s="83" t="n">
        <v>0</v>
      </c>
      <c r="G6" s="83" t="n">
        <v>0</v>
      </c>
      <c r="H6" s="83" t="n">
        <v>0</v>
      </c>
      <c r="I6" s="83" t="n">
        <v>0</v>
      </c>
      <c r="J6" s="83" t="n">
        <v>0</v>
      </c>
      <c r="K6" s="83" t="n">
        <v>0</v>
      </c>
      <c r="L6" s="83" t="n">
        <v>0</v>
      </c>
      <c r="M6" s="83" t="n">
        <v>0</v>
      </c>
      <c r="N6" s="83" t="n">
        <v>0</v>
      </c>
      <c r="O6" s="83" t="n">
        <v>0</v>
      </c>
      <c r="P6" s="83" t="n">
        <v>0</v>
      </c>
      <c r="Q6" s="83" t="n">
        <v>0</v>
      </c>
      <c r="R6" s="83" t="n">
        <v>0</v>
      </c>
      <c r="S6" s="83" t="n">
        <v>0</v>
      </c>
      <c r="T6" s="83" t="n">
        <v>0</v>
      </c>
      <c r="U6" s="83" t="n">
        <v>0</v>
      </c>
      <c r="V6" s="83" t="n">
        <v>0</v>
      </c>
      <c r="W6" s="83" t="n">
        <v>0</v>
      </c>
      <c r="X6" s="83" t="n">
        <v>0</v>
      </c>
      <c r="Y6" s="83" t="n">
        <v>0</v>
      </c>
      <c r="Z6" s="83" t="n">
        <v>0</v>
      </c>
      <c r="AA6" s="83" t="n">
        <v>0</v>
      </c>
      <c r="AB6" s="83" t="n">
        <v>0</v>
      </c>
      <c r="AC6" s="83" t="n">
        <v>0</v>
      </c>
      <c r="AD6" s="83" t="n">
        <v>0</v>
      </c>
      <c r="AE6" s="83" t="n">
        <v>0</v>
      </c>
      <c r="AF6" s="83" t="n">
        <v>0</v>
      </c>
      <c r="AG6" s="83" t="n">
        <v>0</v>
      </c>
      <c r="AH6" s="83" t="n">
        <v>0</v>
      </c>
      <c r="AI6" s="83" t="n">
        <v>0</v>
      </c>
      <c r="AJ6" s="83" t="n">
        <v>0</v>
      </c>
      <c r="AK6" s="83" t="n">
        <v>0</v>
      </c>
      <c r="AL6" s="83" t="n">
        <v>0</v>
      </c>
    </row>
    <row r="7" customFormat="1" s="68">
      <c r="A7" s="74" t="n">
        <v>46147</v>
      </c>
      <c r="B7" s="83" t="n">
        <v>0</v>
      </c>
      <c r="C7" s="83" t="n">
        <v>0</v>
      </c>
      <c r="D7" s="83" t="n">
        <v>0</v>
      </c>
      <c r="E7" s="83" t="n">
        <v>0</v>
      </c>
      <c r="F7" s="83" t="n">
        <v>0</v>
      </c>
      <c r="G7" s="83" t="n">
        <v>0</v>
      </c>
      <c r="H7" s="83" t="n">
        <v>0</v>
      </c>
      <c r="I7" s="83" t="n">
        <v>0</v>
      </c>
      <c r="J7" s="83" t="n">
        <v>0</v>
      </c>
      <c r="K7" s="83" t="n">
        <v>0</v>
      </c>
      <c r="L7" s="83" t="n">
        <v>0</v>
      </c>
      <c r="M7" s="83" t="n">
        <v>0</v>
      </c>
      <c r="N7" s="83" t="n">
        <v>0</v>
      </c>
      <c r="O7" s="83" t="n">
        <v>0</v>
      </c>
      <c r="P7" s="83" t="n">
        <v>0</v>
      </c>
      <c r="Q7" s="83" t="n">
        <v>0</v>
      </c>
      <c r="R7" s="83" t="n">
        <v>0</v>
      </c>
      <c r="S7" s="83" t="n">
        <v>0</v>
      </c>
      <c r="T7" s="83" t="n">
        <v>0</v>
      </c>
      <c r="U7" s="83" t="n">
        <v>0</v>
      </c>
      <c r="V7" s="83" t="n">
        <v>0</v>
      </c>
      <c r="W7" s="83" t="n">
        <v>0</v>
      </c>
      <c r="X7" s="83" t="n">
        <v>0</v>
      </c>
      <c r="Y7" s="83" t="n">
        <v>0</v>
      </c>
      <c r="Z7" s="83" t="n">
        <v>0</v>
      </c>
      <c r="AA7" s="83" t="n">
        <v>0</v>
      </c>
      <c r="AB7" s="83" t="n">
        <v>0</v>
      </c>
      <c r="AC7" s="83" t="n">
        <v>0</v>
      </c>
      <c r="AD7" s="83" t="n">
        <v>0</v>
      </c>
      <c r="AE7" s="83" t="n">
        <v>0</v>
      </c>
      <c r="AF7" s="83" t="n">
        <v>0</v>
      </c>
      <c r="AG7" s="83" t="n">
        <v>0</v>
      </c>
      <c r="AH7" s="83" t="n">
        <v>0</v>
      </c>
      <c r="AI7" s="83" t="n">
        <v>0</v>
      </c>
      <c r="AJ7" s="83" t="n">
        <v>0</v>
      </c>
      <c r="AK7" s="83" t="n">
        <v>0</v>
      </c>
      <c r="AL7" s="83" t="n">
        <v>0</v>
      </c>
    </row>
    <row r="8" customFormat="1" s="68">
      <c r="A8" s="74" t="n">
        <v>46148</v>
      </c>
      <c r="B8" s="83" t="n">
        <v>0</v>
      </c>
      <c r="C8" s="83" t="n">
        <v>0</v>
      </c>
      <c r="D8" s="83" t="n">
        <v>0</v>
      </c>
      <c r="E8" s="83" t="n">
        <v>0</v>
      </c>
      <c r="F8" s="83" t="n">
        <v>0</v>
      </c>
      <c r="G8" s="83" t="n">
        <v>0</v>
      </c>
      <c r="H8" s="83" t="n">
        <v>0</v>
      </c>
      <c r="I8" s="83" t="n">
        <v>0</v>
      </c>
      <c r="J8" s="83" t="n">
        <v>0</v>
      </c>
      <c r="K8" s="83" t="n">
        <v>0</v>
      </c>
      <c r="L8" s="83" t="n">
        <v>0</v>
      </c>
      <c r="M8" s="83" t="n">
        <v>0</v>
      </c>
      <c r="N8" s="83" t="n">
        <v>0</v>
      </c>
      <c r="O8" s="83" t="n">
        <v>0</v>
      </c>
      <c r="P8" s="83" t="n">
        <v>0</v>
      </c>
      <c r="Q8" s="83" t="n">
        <v>0</v>
      </c>
      <c r="R8" s="83" t="n">
        <v>0</v>
      </c>
      <c r="S8" s="83" t="n">
        <v>0</v>
      </c>
      <c r="T8" s="83" t="n">
        <v>0</v>
      </c>
      <c r="U8" s="83" t="n">
        <v>0</v>
      </c>
      <c r="V8" s="83" t="n">
        <v>0</v>
      </c>
      <c r="W8" s="83" t="n">
        <v>0</v>
      </c>
      <c r="X8" s="83" t="n">
        <v>0</v>
      </c>
      <c r="Y8" s="83" t="n">
        <v>0</v>
      </c>
      <c r="Z8" s="83" t="n">
        <v>0</v>
      </c>
      <c r="AA8" s="83" t="n">
        <v>0</v>
      </c>
      <c r="AB8" s="83" t="n">
        <v>0</v>
      </c>
      <c r="AC8" s="83" t="n">
        <v>0</v>
      </c>
      <c r="AD8" s="83" t="n">
        <v>0</v>
      </c>
      <c r="AE8" s="83" t="n">
        <v>0</v>
      </c>
      <c r="AF8" s="83" t="n">
        <v>0</v>
      </c>
      <c r="AG8" s="83" t="n">
        <v>0</v>
      </c>
      <c r="AH8" s="83" t="n">
        <v>0</v>
      </c>
      <c r="AI8" s="83" t="n">
        <v>0</v>
      </c>
      <c r="AJ8" s="83" t="n">
        <v>0</v>
      </c>
      <c r="AK8" s="83" t="n">
        <v>0</v>
      </c>
      <c r="AL8" s="83" t="n">
        <v>0</v>
      </c>
    </row>
    <row r="9" customFormat="1" s="68">
      <c r="A9" s="74" t="n">
        <v>46149</v>
      </c>
      <c r="B9" s="83" t="n">
        <v>0</v>
      </c>
      <c r="C9" s="83" t="n">
        <v>0</v>
      </c>
      <c r="D9" s="83" t="n">
        <v>0</v>
      </c>
      <c r="E9" s="83" t="n">
        <v>0</v>
      </c>
      <c r="F9" s="83" t="n">
        <v>122383.45</v>
      </c>
      <c r="G9" s="83" t="n">
        <v>0</v>
      </c>
      <c r="H9" s="83" t="n">
        <v>0</v>
      </c>
      <c r="I9" s="83" t="n">
        <v>0</v>
      </c>
      <c r="J9" s="83" t="n">
        <v>0</v>
      </c>
      <c r="K9" s="83" t="n">
        <v>0</v>
      </c>
      <c r="L9" s="83" t="n">
        <v>0</v>
      </c>
      <c r="M9" s="83" t="n">
        <v>0</v>
      </c>
      <c r="N9" s="83" t="n">
        <v>0</v>
      </c>
      <c r="O9" s="83" t="n">
        <v>0</v>
      </c>
      <c r="P9" s="83" t="n">
        <v>0</v>
      </c>
      <c r="Q9" s="83" t="n">
        <v>0</v>
      </c>
      <c r="R9" s="83" t="n">
        <v>0</v>
      </c>
      <c r="S9" s="83" t="n">
        <v>0</v>
      </c>
      <c r="T9" s="83" t="n">
        <v>0</v>
      </c>
      <c r="U9" s="83" t="n">
        <v>0</v>
      </c>
      <c r="V9" s="83" t="n">
        <v>0</v>
      </c>
      <c r="W9" s="83" t="n">
        <v>0</v>
      </c>
      <c r="X9" s="83" t="n">
        <v>0</v>
      </c>
      <c r="Y9" s="83" t="n">
        <v>0</v>
      </c>
      <c r="Z9" s="83" t="n">
        <v>0</v>
      </c>
      <c r="AA9" s="83" t="n">
        <v>0</v>
      </c>
      <c r="AB9" s="83" t="n">
        <v>0</v>
      </c>
      <c r="AC9" s="83" t="n">
        <v>0</v>
      </c>
      <c r="AD9" s="83" t="n">
        <v>0</v>
      </c>
      <c r="AE9" s="83" t="n">
        <v>0</v>
      </c>
      <c r="AF9" s="83" t="n">
        <v>0</v>
      </c>
      <c r="AG9" s="83" t="n">
        <v>0</v>
      </c>
      <c r="AH9" s="83" t="n">
        <v>0</v>
      </c>
      <c r="AI9" s="83" t="n">
        <v>0</v>
      </c>
      <c r="AJ9" s="83" t="n">
        <v>0</v>
      </c>
      <c r="AK9" s="83" t="n">
        <v>0</v>
      </c>
      <c r="AL9" s="83" t="n">
        <v>0</v>
      </c>
    </row>
    <row r="10" customFormat="1" s="68">
      <c r="A10" s="74" t="n">
        <v>46150</v>
      </c>
      <c r="B10" s="83" t="n">
        <v>0</v>
      </c>
      <c r="C10" s="83" t="n">
        <v>0</v>
      </c>
      <c r="D10" s="83" t="n">
        <v>0</v>
      </c>
      <c r="E10" s="83" t="n">
        <v>0</v>
      </c>
      <c r="F10" s="83" t="n">
        <v>38376.98</v>
      </c>
      <c r="G10" s="83" t="n">
        <v>0</v>
      </c>
      <c r="H10" s="83" t="n">
        <v>0</v>
      </c>
      <c r="I10" s="83" t="n">
        <v>0</v>
      </c>
      <c r="J10" s="83" t="n">
        <v>0</v>
      </c>
      <c r="K10" s="83" t="n">
        <v>0</v>
      </c>
      <c r="L10" s="83" t="n">
        <v>0</v>
      </c>
      <c r="M10" s="83" t="n">
        <v>0</v>
      </c>
      <c r="N10" s="83" t="n">
        <v>0</v>
      </c>
      <c r="O10" s="83" t="n">
        <v>0</v>
      </c>
      <c r="P10" s="83" t="n">
        <v>0</v>
      </c>
      <c r="Q10" s="83" t="n">
        <v>0</v>
      </c>
      <c r="R10" s="83" t="n">
        <v>0</v>
      </c>
      <c r="S10" s="83" t="n">
        <v>0</v>
      </c>
      <c r="T10" s="83" t="n">
        <v>0</v>
      </c>
      <c r="U10" s="83" t="n">
        <v>0</v>
      </c>
      <c r="V10" s="83" t="n">
        <v>0</v>
      </c>
      <c r="W10" s="83" t="n">
        <v>0</v>
      </c>
      <c r="X10" s="83" t="n">
        <v>0</v>
      </c>
      <c r="Y10" s="83" t="n">
        <v>0</v>
      </c>
      <c r="Z10" s="83" t="n">
        <v>0</v>
      </c>
      <c r="AA10" s="83" t="n">
        <v>0</v>
      </c>
      <c r="AB10" s="83" t="n">
        <v>0</v>
      </c>
      <c r="AC10" s="83" t="n">
        <v>0</v>
      </c>
      <c r="AD10" s="83" t="n">
        <v>0</v>
      </c>
      <c r="AE10" s="83" t="n">
        <v>0</v>
      </c>
      <c r="AF10" s="83" t="n">
        <v>0</v>
      </c>
      <c r="AG10" s="83" t="n">
        <v>0</v>
      </c>
      <c r="AH10" s="83" t="n">
        <v>0</v>
      </c>
      <c r="AI10" s="83" t="n">
        <v>0</v>
      </c>
      <c r="AJ10" s="83" t="n">
        <v>0</v>
      </c>
      <c r="AK10" s="83" t="n">
        <v>0</v>
      </c>
      <c r="AL10" s="83" t="n">
        <v>0</v>
      </c>
    </row>
    <row r="11" customFormat="1" s="68">
      <c r="A11" s="74" t="n">
        <v>46151</v>
      </c>
      <c r="B11" s="83" t="n">
        <v>0</v>
      </c>
      <c r="C11" s="83" t="n">
        <v>0</v>
      </c>
      <c r="D11" s="83" t="n">
        <v>0</v>
      </c>
      <c r="E11" s="83" t="n">
        <v>0</v>
      </c>
      <c r="F11" s="83" t="n">
        <v>0</v>
      </c>
      <c r="G11" s="83" t="n">
        <v>0</v>
      </c>
      <c r="H11" s="83" t="n">
        <v>0</v>
      </c>
      <c r="I11" s="83" t="n">
        <v>0</v>
      </c>
      <c r="J11" s="83" t="n">
        <v>0</v>
      </c>
      <c r="K11" s="83" t="n">
        <v>0</v>
      </c>
      <c r="L11" s="83" t="n">
        <v>0</v>
      </c>
      <c r="M11" s="83" t="n">
        <v>0</v>
      </c>
      <c r="N11" s="83" t="n">
        <v>8533.290000000001</v>
      </c>
      <c r="O11" s="83" t="n">
        <v>0</v>
      </c>
      <c r="P11" s="83" t="n">
        <v>0</v>
      </c>
      <c r="Q11" s="83" t="n">
        <v>0</v>
      </c>
      <c r="R11" s="83" t="n">
        <v>0</v>
      </c>
      <c r="S11" s="83" t="n">
        <v>0</v>
      </c>
      <c r="T11" s="83" t="n">
        <v>0</v>
      </c>
      <c r="U11" s="83" t="n">
        <v>0</v>
      </c>
      <c r="V11" s="83" t="n">
        <v>0</v>
      </c>
      <c r="W11" s="83" t="n">
        <v>0</v>
      </c>
      <c r="X11" s="83" t="n">
        <v>0</v>
      </c>
      <c r="Y11" s="83" t="n">
        <v>0</v>
      </c>
      <c r="Z11" s="83" t="n">
        <v>0</v>
      </c>
      <c r="AA11" s="83" t="n">
        <v>0</v>
      </c>
      <c r="AB11" s="83" t="n">
        <v>0</v>
      </c>
      <c r="AC11" s="83" t="n">
        <v>0</v>
      </c>
      <c r="AD11" s="83" t="n">
        <v>0</v>
      </c>
      <c r="AE11" s="83" t="n">
        <v>0</v>
      </c>
      <c r="AF11" s="83" t="n">
        <v>0</v>
      </c>
      <c r="AG11" s="83" t="n">
        <v>0</v>
      </c>
      <c r="AH11" s="83" t="n">
        <v>0</v>
      </c>
      <c r="AI11" s="83" t="n">
        <v>0</v>
      </c>
      <c r="AJ11" s="83" t="n">
        <v>0</v>
      </c>
      <c r="AK11" s="83" t="n">
        <v>0</v>
      </c>
      <c r="AL11" s="83" t="n">
        <v>0</v>
      </c>
    </row>
    <row r="12" customFormat="1" s="68">
      <c r="A12" s="74" t="n">
        <v>46152</v>
      </c>
      <c r="B12" s="83" t="n">
        <v>0</v>
      </c>
      <c r="C12" s="83" t="n">
        <v>0</v>
      </c>
      <c r="D12" s="83" t="n">
        <v>0</v>
      </c>
      <c r="E12" s="83" t="n">
        <v>0</v>
      </c>
      <c r="F12" s="83" t="n">
        <v>0</v>
      </c>
      <c r="G12" s="83" t="n">
        <v>0</v>
      </c>
      <c r="H12" s="83" t="n">
        <v>0</v>
      </c>
      <c r="I12" s="83" t="n">
        <v>0</v>
      </c>
      <c r="J12" s="83" t="n">
        <v>0</v>
      </c>
      <c r="K12" s="83" t="n">
        <v>0</v>
      </c>
      <c r="L12" s="83" t="n">
        <v>0</v>
      </c>
      <c r="M12" s="83" t="n">
        <v>0</v>
      </c>
      <c r="N12" s="83" t="n">
        <v>0</v>
      </c>
      <c r="O12" s="83" t="n">
        <v>0</v>
      </c>
      <c r="P12" s="83" t="n">
        <v>0</v>
      </c>
      <c r="Q12" s="83" t="n">
        <v>0</v>
      </c>
      <c r="R12" s="83" t="n">
        <v>0</v>
      </c>
      <c r="S12" s="83" t="n">
        <v>0</v>
      </c>
      <c r="T12" s="83" t="n">
        <v>0</v>
      </c>
      <c r="U12" s="83" t="n">
        <v>0</v>
      </c>
      <c r="V12" s="83" t="n">
        <v>0</v>
      </c>
      <c r="W12" s="83" t="n">
        <v>0</v>
      </c>
      <c r="X12" s="83" t="n">
        <v>0</v>
      </c>
      <c r="Y12" s="83" t="n">
        <v>0</v>
      </c>
      <c r="Z12" s="83" t="n">
        <v>0</v>
      </c>
      <c r="AA12" s="83" t="n">
        <v>0</v>
      </c>
      <c r="AB12" s="83" t="n">
        <v>0</v>
      </c>
      <c r="AC12" s="83" t="n">
        <v>0</v>
      </c>
      <c r="AD12" s="83" t="n">
        <v>0</v>
      </c>
      <c r="AE12" s="83" t="n">
        <v>0</v>
      </c>
      <c r="AF12" s="83" t="n">
        <v>0</v>
      </c>
      <c r="AG12" s="83" t="n">
        <v>0</v>
      </c>
      <c r="AH12" s="83" t="n">
        <v>0</v>
      </c>
      <c r="AI12" s="83" t="n">
        <v>0</v>
      </c>
      <c r="AJ12" s="83" t="n">
        <v>0</v>
      </c>
      <c r="AK12" s="83" t="n">
        <v>0</v>
      </c>
      <c r="AL12" s="83" t="n">
        <v>0</v>
      </c>
    </row>
    <row r="13" customFormat="1" s="68">
      <c r="A13" s="74" t="n">
        <v>46153</v>
      </c>
      <c r="B13" s="83" t="n">
        <v>32465.7</v>
      </c>
      <c r="C13" s="83" t="n">
        <v>0</v>
      </c>
      <c r="D13" s="83" t="n">
        <v>0</v>
      </c>
      <c r="E13" s="83" t="n">
        <v>0</v>
      </c>
      <c r="F13" s="83" t="n">
        <v>0</v>
      </c>
      <c r="G13" s="83" t="n">
        <v>0</v>
      </c>
      <c r="H13" s="83" t="n">
        <v>0</v>
      </c>
      <c r="I13" s="83" t="n">
        <v>0</v>
      </c>
      <c r="J13" s="83" t="n">
        <v>0</v>
      </c>
      <c r="K13" s="83" t="n">
        <v>0</v>
      </c>
      <c r="L13" s="83" t="n">
        <v>41000</v>
      </c>
      <c r="M13" s="83" t="n">
        <v>0</v>
      </c>
      <c r="N13" s="83" t="n">
        <v>0</v>
      </c>
      <c r="O13" s="83" t="n">
        <v>0</v>
      </c>
      <c r="P13" s="83" t="n">
        <v>0</v>
      </c>
      <c r="Q13" s="83" t="n">
        <v>0</v>
      </c>
      <c r="R13" s="83" t="n">
        <v>0</v>
      </c>
      <c r="S13" s="83" t="n">
        <v>0</v>
      </c>
      <c r="T13" s="83" t="n">
        <v>0</v>
      </c>
      <c r="U13" s="83" t="n">
        <v>0</v>
      </c>
      <c r="V13" s="83" t="n">
        <v>0</v>
      </c>
      <c r="W13" s="83" t="n">
        <v>0</v>
      </c>
      <c r="X13" s="83" t="n">
        <v>0</v>
      </c>
      <c r="Y13" s="83" t="n">
        <v>0</v>
      </c>
      <c r="Z13" s="83" t="n">
        <v>0</v>
      </c>
      <c r="AA13" s="83" t="n">
        <v>0</v>
      </c>
      <c r="AB13" s="83" t="n">
        <v>0</v>
      </c>
      <c r="AC13" s="83" t="n">
        <v>0</v>
      </c>
      <c r="AD13" s="83" t="n">
        <v>0</v>
      </c>
      <c r="AE13" s="83" t="n">
        <v>0</v>
      </c>
      <c r="AF13" s="83" t="n">
        <v>0</v>
      </c>
      <c r="AG13" s="83" t="n">
        <v>0</v>
      </c>
      <c r="AH13" s="83" t="n">
        <v>0</v>
      </c>
      <c r="AI13" s="83" t="n">
        <v>0</v>
      </c>
      <c r="AJ13" s="83" t="n">
        <v>0</v>
      </c>
      <c r="AK13" s="83" t="n">
        <v>0</v>
      </c>
      <c r="AL13" s="83" t="n">
        <v>0</v>
      </c>
    </row>
    <row r="14" customFormat="1" s="68">
      <c r="A14" s="74" t="n">
        <v>46154</v>
      </c>
      <c r="B14" s="83" t="n">
        <v>0</v>
      </c>
      <c r="C14" s="83" t="n">
        <v>0</v>
      </c>
      <c r="D14" s="83" t="n">
        <v>0</v>
      </c>
      <c r="E14" s="83" t="n">
        <v>0</v>
      </c>
      <c r="F14" s="83" t="n">
        <v>46461.96</v>
      </c>
      <c r="G14" s="83" t="n">
        <v>0</v>
      </c>
      <c r="H14" s="83" t="n">
        <v>0</v>
      </c>
      <c r="I14" s="83" t="n">
        <v>0</v>
      </c>
      <c r="J14" s="83" t="n">
        <v>0</v>
      </c>
      <c r="K14" s="83" t="n">
        <v>0</v>
      </c>
      <c r="L14" s="83" t="n">
        <v>0</v>
      </c>
      <c r="M14" s="83" t="n">
        <v>0</v>
      </c>
      <c r="N14" s="83" t="n">
        <v>0</v>
      </c>
      <c r="O14" s="83" t="n">
        <v>0</v>
      </c>
      <c r="P14" s="83" t="n">
        <v>0</v>
      </c>
      <c r="Q14" s="83" t="n">
        <v>0</v>
      </c>
      <c r="R14" s="83" t="n">
        <v>0</v>
      </c>
      <c r="S14" s="83" t="n">
        <v>0</v>
      </c>
      <c r="T14" s="83" t="n">
        <v>0</v>
      </c>
      <c r="U14" s="83" t="n">
        <v>0</v>
      </c>
      <c r="V14" s="83" t="n">
        <v>0</v>
      </c>
      <c r="W14" s="83" t="n">
        <v>0</v>
      </c>
      <c r="X14" s="83" t="n">
        <v>0</v>
      </c>
      <c r="Y14" s="83" t="n">
        <v>0</v>
      </c>
      <c r="Z14" s="83" t="n">
        <v>0</v>
      </c>
      <c r="AA14" s="83" t="n">
        <v>0</v>
      </c>
      <c r="AB14" s="83" t="n">
        <v>0</v>
      </c>
      <c r="AC14" s="83" t="n">
        <v>0</v>
      </c>
      <c r="AD14" s="83" t="n">
        <v>0</v>
      </c>
      <c r="AE14" s="83" t="n">
        <v>0</v>
      </c>
      <c r="AF14" s="83" t="n">
        <v>0</v>
      </c>
      <c r="AG14" s="83" t="n">
        <v>0</v>
      </c>
      <c r="AH14" s="83" t="n">
        <v>0</v>
      </c>
      <c r="AI14" s="83" t="n">
        <v>0</v>
      </c>
      <c r="AJ14" s="83" t="n">
        <v>0</v>
      </c>
      <c r="AK14" s="83" t="n">
        <v>0</v>
      </c>
      <c r="AL14" s="83" t="n">
        <v>0</v>
      </c>
    </row>
    <row r="15" customFormat="1" s="68">
      <c r="A15" s="74" t="n">
        <v>46155</v>
      </c>
      <c r="B15" s="83" t="n">
        <v>0</v>
      </c>
      <c r="C15" s="83" t="n">
        <v>0</v>
      </c>
      <c r="D15" s="83" t="n">
        <v>0</v>
      </c>
      <c r="E15" s="83" t="n">
        <v>0</v>
      </c>
      <c r="F15" s="83" t="n">
        <v>0</v>
      </c>
      <c r="G15" s="83" t="n">
        <v>0</v>
      </c>
      <c r="H15" s="83" t="n">
        <v>0</v>
      </c>
      <c r="I15" s="83" t="n">
        <v>0</v>
      </c>
      <c r="J15" s="83" t="n">
        <v>0</v>
      </c>
      <c r="K15" s="83" t="n">
        <v>0</v>
      </c>
      <c r="L15" s="83" t="n">
        <v>0</v>
      </c>
      <c r="M15" s="83" t="n">
        <v>0</v>
      </c>
      <c r="N15" s="83" t="n">
        <v>0</v>
      </c>
      <c r="O15" s="83" t="n">
        <v>0</v>
      </c>
      <c r="P15" s="83" t="n">
        <v>0</v>
      </c>
      <c r="Q15" s="83" t="n">
        <v>0</v>
      </c>
      <c r="R15" s="83" t="n">
        <v>0</v>
      </c>
      <c r="S15" s="83" t="n">
        <v>0</v>
      </c>
      <c r="T15" s="83" t="n">
        <v>0</v>
      </c>
      <c r="U15" s="83" t="n">
        <v>0</v>
      </c>
      <c r="V15" s="83" t="n">
        <v>0</v>
      </c>
      <c r="W15" s="83" t="n">
        <v>0</v>
      </c>
      <c r="X15" s="83" t="n">
        <v>12368.17</v>
      </c>
      <c r="Y15" s="83" t="n">
        <v>0</v>
      </c>
      <c r="Z15" s="83" t="n">
        <v>0</v>
      </c>
      <c r="AA15" s="83" t="n">
        <v>0</v>
      </c>
      <c r="AB15" s="83" t="n">
        <v>0</v>
      </c>
      <c r="AC15" s="83" t="n">
        <v>0</v>
      </c>
      <c r="AD15" s="83" t="n">
        <v>0</v>
      </c>
      <c r="AE15" s="83" t="n">
        <v>0</v>
      </c>
      <c r="AF15" s="83" t="n">
        <v>0</v>
      </c>
      <c r="AG15" s="83" t="n">
        <v>0</v>
      </c>
      <c r="AH15" s="83" t="n">
        <v>0</v>
      </c>
      <c r="AI15" s="83" t="n">
        <v>0</v>
      </c>
      <c r="AJ15" s="83" t="n">
        <v>0</v>
      </c>
      <c r="AK15" s="83" t="n">
        <v>0</v>
      </c>
      <c r="AL15" s="83" t="n">
        <v>0</v>
      </c>
    </row>
    <row r="16" customFormat="1" s="68">
      <c r="A16" s="74" t="n">
        <v>46156</v>
      </c>
      <c r="B16" s="83" t="n">
        <v>56486.81</v>
      </c>
      <c r="C16" s="83" t="n">
        <v>0</v>
      </c>
      <c r="D16" s="83" t="n">
        <v>0</v>
      </c>
      <c r="E16" s="83" t="n">
        <v>0</v>
      </c>
      <c r="F16" s="83" t="n">
        <v>0</v>
      </c>
      <c r="G16" s="83" t="n">
        <v>0</v>
      </c>
      <c r="H16" s="83" t="n">
        <v>0</v>
      </c>
      <c r="I16" s="83" t="n">
        <v>0</v>
      </c>
      <c r="J16" s="83" t="n">
        <v>0</v>
      </c>
      <c r="K16" s="83" t="n">
        <v>0</v>
      </c>
      <c r="L16" s="83" t="n">
        <v>0</v>
      </c>
      <c r="M16" s="83" t="n">
        <v>0</v>
      </c>
      <c r="N16" s="83" t="n">
        <v>0</v>
      </c>
      <c r="O16" s="83" t="n">
        <v>0</v>
      </c>
      <c r="P16" s="83" t="n">
        <v>0</v>
      </c>
      <c r="Q16" s="83" t="n">
        <v>0</v>
      </c>
      <c r="R16" s="83" t="n">
        <v>0</v>
      </c>
      <c r="S16" s="83" t="n">
        <v>0</v>
      </c>
      <c r="T16" s="83" t="n">
        <v>0</v>
      </c>
      <c r="U16" s="83" t="n">
        <v>0</v>
      </c>
      <c r="V16" s="83" t="n">
        <v>0</v>
      </c>
      <c r="W16" s="83" t="n">
        <v>0</v>
      </c>
      <c r="X16" s="83" t="n">
        <v>0</v>
      </c>
      <c r="Y16" s="83" t="n">
        <v>0</v>
      </c>
      <c r="Z16" s="83" t="n">
        <v>0</v>
      </c>
      <c r="AA16" s="83" t="n">
        <v>0</v>
      </c>
      <c r="AB16" s="83" t="n">
        <v>0</v>
      </c>
      <c r="AC16" s="83" t="n">
        <v>0</v>
      </c>
      <c r="AD16" s="83" t="n">
        <v>0</v>
      </c>
      <c r="AE16" s="83" t="n">
        <v>0</v>
      </c>
      <c r="AF16" s="83" t="n">
        <v>0</v>
      </c>
      <c r="AG16" s="83" t="n">
        <v>0</v>
      </c>
      <c r="AH16" s="83" t="n">
        <v>0</v>
      </c>
      <c r="AI16" s="83" t="n">
        <v>0</v>
      </c>
      <c r="AJ16" s="83" t="n">
        <v>0</v>
      </c>
      <c r="AK16" s="83" t="n">
        <v>0</v>
      </c>
      <c r="AL16" s="83" t="n">
        <v>0</v>
      </c>
    </row>
    <row r="17" customFormat="1" s="68">
      <c r="A17" s="74" t="n">
        <v>46157</v>
      </c>
      <c r="B17" s="83" t="n">
        <v>0</v>
      </c>
      <c r="C17" s="83" t="n">
        <v>0</v>
      </c>
      <c r="D17" s="83" t="n">
        <v>0</v>
      </c>
      <c r="E17" s="83" t="n">
        <v>0</v>
      </c>
      <c r="F17" s="83" t="n">
        <v>0</v>
      </c>
      <c r="G17" s="83" t="n">
        <v>0</v>
      </c>
      <c r="H17" s="83" t="n">
        <v>0</v>
      </c>
      <c r="I17" s="83" t="n">
        <v>0</v>
      </c>
      <c r="J17" s="83" t="n">
        <v>0</v>
      </c>
      <c r="K17" s="83" t="n">
        <v>0</v>
      </c>
      <c r="L17" s="83" t="n">
        <v>0</v>
      </c>
      <c r="M17" s="83" t="n">
        <v>0</v>
      </c>
      <c r="N17" s="83" t="n">
        <v>0</v>
      </c>
      <c r="O17" s="83" t="n">
        <v>0</v>
      </c>
      <c r="P17" s="83" t="n">
        <v>0</v>
      </c>
      <c r="Q17" s="83" t="n">
        <v>0</v>
      </c>
      <c r="R17" s="83" t="n">
        <v>0</v>
      </c>
      <c r="S17" s="83" t="n">
        <v>0</v>
      </c>
      <c r="T17" s="83" t="n">
        <v>0</v>
      </c>
      <c r="U17" s="83" t="n">
        <v>0</v>
      </c>
      <c r="V17" s="83" t="n">
        <v>40000</v>
      </c>
      <c r="W17" s="83" t="n">
        <v>0</v>
      </c>
      <c r="X17" s="83" t="n">
        <v>0</v>
      </c>
      <c r="Y17" s="83" t="n">
        <v>0</v>
      </c>
      <c r="Z17" s="83" t="n">
        <v>0</v>
      </c>
      <c r="AA17" s="83" t="n">
        <v>0</v>
      </c>
      <c r="AB17" s="83" t="n">
        <v>0</v>
      </c>
      <c r="AC17" s="83" t="n">
        <v>0</v>
      </c>
      <c r="AD17" s="83" t="n">
        <v>0</v>
      </c>
      <c r="AE17" s="83" t="n">
        <v>0</v>
      </c>
      <c r="AF17" s="83" t="n">
        <v>0</v>
      </c>
      <c r="AG17" s="83" t="n">
        <v>0</v>
      </c>
      <c r="AH17" s="83" t="n">
        <v>0</v>
      </c>
      <c r="AI17" s="83" t="n">
        <v>0</v>
      </c>
      <c r="AJ17" s="83" t="n">
        <v>0</v>
      </c>
      <c r="AK17" s="83" t="n">
        <v>0</v>
      </c>
      <c r="AL17" s="83" t="n">
        <v>0</v>
      </c>
    </row>
    <row r="18" customFormat="1" s="68">
      <c r="A18" s="74" t="n">
        <v>46158</v>
      </c>
      <c r="B18" s="83" t="n">
        <v>0</v>
      </c>
      <c r="C18" s="83" t="n">
        <v>0</v>
      </c>
      <c r="D18" s="83" t="n">
        <v>0</v>
      </c>
      <c r="E18" s="83" t="n">
        <v>0</v>
      </c>
      <c r="F18" s="83" t="n">
        <v>0</v>
      </c>
      <c r="G18" s="83" t="n">
        <v>0</v>
      </c>
      <c r="H18" s="83" t="n">
        <v>0</v>
      </c>
      <c r="I18" s="83" t="n">
        <v>0</v>
      </c>
      <c r="J18" s="83" t="n">
        <v>0</v>
      </c>
      <c r="K18" s="83" t="n">
        <v>0</v>
      </c>
      <c r="L18" s="83" t="n">
        <v>12000</v>
      </c>
      <c r="M18" s="83" t="n">
        <v>0</v>
      </c>
      <c r="N18" s="83" t="n">
        <v>0</v>
      </c>
      <c r="O18" s="83" t="n">
        <v>0</v>
      </c>
      <c r="P18" s="83" t="n">
        <v>0</v>
      </c>
      <c r="Q18" s="83" t="n">
        <v>0</v>
      </c>
      <c r="R18" s="83" t="n">
        <v>0</v>
      </c>
      <c r="S18" s="83" t="n">
        <v>0</v>
      </c>
      <c r="T18" s="83" t="n">
        <v>0</v>
      </c>
      <c r="U18" s="83" t="n">
        <v>0</v>
      </c>
      <c r="V18" s="83" t="n">
        <v>0</v>
      </c>
      <c r="W18" s="83" t="n">
        <v>0</v>
      </c>
      <c r="X18" s="83" t="n">
        <v>0</v>
      </c>
      <c r="Y18" s="83" t="n">
        <v>0</v>
      </c>
      <c r="Z18" s="83" t="n">
        <v>0</v>
      </c>
      <c r="AA18" s="83" t="n">
        <v>0</v>
      </c>
      <c r="AB18" s="83" t="n">
        <v>0</v>
      </c>
      <c r="AC18" s="83" t="n">
        <v>0</v>
      </c>
      <c r="AD18" s="83" t="n">
        <v>0</v>
      </c>
      <c r="AE18" s="83" t="n">
        <v>0</v>
      </c>
      <c r="AF18" s="83" t="n">
        <v>0</v>
      </c>
      <c r="AG18" s="83" t="n">
        <v>0</v>
      </c>
      <c r="AH18" s="83" t="n">
        <v>0</v>
      </c>
      <c r="AI18" s="83" t="n">
        <v>0</v>
      </c>
      <c r="AJ18" s="83" t="n">
        <v>0</v>
      </c>
      <c r="AK18" s="83" t="n">
        <v>0</v>
      </c>
      <c r="AL18" s="83" t="n">
        <v>0</v>
      </c>
    </row>
    <row r="19" customFormat="1" s="68">
      <c r="A19" s="74" t="n">
        <v>46159</v>
      </c>
      <c r="B19" s="83" t="n">
        <v>0</v>
      </c>
      <c r="C19" s="83" t="n">
        <v>0</v>
      </c>
      <c r="D19" s="83" t="n">
        <v>0</v>
      </c>
      <c r="E19" s="83" t="n">
        <v>0</v>
      </c>
      <c r="F19" s="83" t="n">
        <v>64356.63</v>
      </c>
      <c r="G19" s="83" t="n">
        <v>0</v>
      </c>
      <c r="H19" s="83" t="n">
        <v>0</v>
      </c>
      <c r="I19" s="83" t="n">
        <v>0</v>
      </c>
      <c r="J19" s="83" t="n">
        <v>0</v>
      </c>
      <c r="K19" s="83" t="n">
        <v>0</v>
      </c>
      <c r="L19" s="83" t="n">
        <v>0</v>
      </c>
      <c r="M19" s="83" t="n">
        <v>0</v>
      </c>
      <c r="N19" s="83" t="n">
        <v>0</v>
      </c>
      <c r="O19" s="83" t="n">
        <v>0</v>
      </c>
      <c r="P19" s="83" t="n">
        <v>0</v>
      </c>
      <c r="Q19" s="83" t="n">
        <v>0</v>
      </c>
      <c r="R19" s="83" t="n">
        <v>0</v>
      </c>
      <c r="S19" s="83" t="n">
        <v>0</v>
      </c>
      <c r="T19" s="83" t="n">
        <v>0</v>
      </c>
      <c r="U19" s="83" t="n">
        <v>0</v>
      </c>
      <c r="V19" s="83" t="n">
        <v>0</v>
      </c>
      <c r="W19" s="83" t="n">
        <v>0</v>
      </c>
      <c r="X19" s="83" t="n">
        <v>0</v>
      </c>
      <c r="Y19" s="83" t="n">
        <v>0</v>
      </c>
      <c r="Z19" s="83" t="n">
        <v>0</v>
      </c>
      <c r="AA19" s="83" t="n">
        <v>0</v>
      </c>
      <c r="AB19" s="83" t="n">
        <v>0</v>
      </c>
      <c r="AC19" s="83" t="n">
        <v>0</v>
      </c>
      <c r="AD19" s="83" t="n">
        <v>0</v>
      </c>
      <c r="AE19" s="83" t="n">
        <v>0</v>
      </c>
      <c r="AF19" s="83" t="n">
        <v>0</v>
      </c>
      <c r="AG19" s="83" t="n">
        <v>0</v>
      </c>
      <c r="AH19" s="83" t="n">
        <v>0</v>
      </c>
      <c r="AI19" s="83" t="n">
        <v>0</v>
      </c>
      <c r="AJ19" s="83" t="n">
        <v>0</v>
      </c>
      <c r="AK19" s="83" t="n">
        <v>0</v>
      </c>
      <c r="AL19" s="83" t="n">
        <v>0</v>
      </c>
    </row>
    <row r="20" customFormat="1" s="68">
      <c r="A20" s="74" t="n">
        <v>46160</v>
      </c>
      <c r="B20" s="83" t="n">
        <v>0</v>
      </c>
      <c r="C20" s="83" t="n">
        <v>0</v>
      </c>
      <c r="D20" s="83" t="n">
        <v>0</v>
      </c>
      <c r="E20" s="83" t="n">
        <v>0</v>
      </c>
      <c r="F20" s="83" t="n">
        <v>0</v>
      </c>
      <c r="G20" s="83" t="n">
        <v>0</v>
      </c>
      <c r="H20" s="83" t="n">
        <v>0</v>
      </c>
      <c r="I20" s="83" t="n">
        <v>0</v>
      </c>
      <c r="J20" s="83" t="n">
        <v>0</v>
      </c>
      <c r="K20" s="83" t="n">
        <v>0</v>
      </c>
      <c r="L20" s="83" t="n">
        <v>0</v>
      </c>
      <c r="M20" s="83" t="n">
        <v>0</v>
      </c>
      <c r="N20" s="83" t="n">
        <v>0</v>
      </c>
      <c r="O20" s="83" t="n">
        <v>0</v>
      </c>
      <c r="P20" s="83" t="n">
        <v>0</v>
      </c>
      <c r="Q20" s="83" t="n">
        <v>0</v>
      </c>
      <c r="R20" s="83" t="n">
        <v>0</v>
      </c>
      <c r="S20" s="83" t="n">
        <v>0</v>
      </c>
      <c r="T20" s="83" t="n">
        <v>0</v>
      </c>
      <c r="U20" s="83" t="n">
        <v>0</v>
      </c>
      <c r="V20" s="83" t="n">
        <v>0</v>
      </c>
      <c r="W20" s="83" t="n">
        <v>0</v>
      </c>
      <c r="X20" s="83" t="n">
        <v>0</v>
      </c>
      <c r="Y20" s="83" t="n">
        <v>0</v>
      </c>
      <c r="Z20" s="83" t="n">
        <v>0</v>
      </c>
      <c r="AA20" s="83" t="n">
        <v>0</v>
      </c>
      <c r="AB20" s="83" t="n">
        <v>0</v>
      </c>
      <c r="AC20" s="83" t="n">
        <v>0</v>
      </c>
      <c r="AD20" s="83" t="n">
        <v>0</v>
      </c>
      <c r="AE20" s="83" t="n">
        <v>0</v>
      </c>
      <c r="AF20" s="83" t="n">
        <v>0</v>
      </c>
      <c r="AG20" s="83" t="n">
        <v>0</v>
      </c>
      <c r="AH20" s="83" t="n">
        <v>0</v>
      </c>
      <c r="AI20" s="83" t="n">
        <v>0</v>
      </c>
      <c r="AJ20" s="83" t="n">
        <v>0</v>
      </c>
      <c r="AK20" s="83" t="n">
        <v>0</v>
      </c>
      <c r="AL20" s="83" t="n">
        <v>0</v>
      </c>
    </row>
    <row r="21" customFormat="1" s="68">
      <c r="A21" s="74" t="n">
        <v>46161</v>
      </c>
      <c r="B21" s="83" t="n">
        <v>0</v>
      </c>
      <c r="C21" s="83" t="n">
        <v>0</v>
      </c>
      <c r="D21" s="83" t="n">
        <v>0</v>
      </c>
      <c r="E21" s="83" t="n">
        <v>0</v>
      </c>
      <c r="F21" s="83" t="n">
        <v>18114.71</v>
      </c>
      <c r="G21" s="83" t="n">
        <v>50082.04</v>
      </c>
      <c r="H21" s="83" t="n">
        <v>0</v>
      </c>
      <c r="I21" s="83" t="n">
        <v>0</v>
      </c>
      <c r="J21" s="83" t="n">
        <v>0</v>
      </c>
      <c r="K21" s="83" t="n">
        <v>0</v>
      </c>
      <c r="L21" s="83" t="n">
        <v>0</v>
      </c>
      <c r="M21" s="83" t="n">
        <v>0</v>
      </c>
      <c r="N21" s="83" t="n">
        <v>0</v>
      </c>
      <c r="O21" s="83" t="n">
        <v>0</v>
      </c>
      <c r="P21" s="83" t="n">
        <v>0</v>
      </c>
      <c r="Q21" s="83" t="n">
        <v>0</v>
      </c>
      <c r="R21" s="83" t="n">
        <v>0</v>
      </c>
      <c r="S21" s="83" t="n">
        <v>0</v>
      </c>
      <c r="T21" s="83" t="n">
        <v>0</v>
      </c>
      <c r="U21" s="83" t="n">
        <v>0</v>
      </c>
      <c r="V21" s="83" t="n">
        <v>0</v>
      </c>
      <c r="W21" s="83" t="n">
        <v>0</v>
      </c>
      <c r="X21" s="83" t="n">
        <v>0</v>
      </c>
      <c r="Y21" s="83" t="n">
        <v>0</v>
      </c>
      <c r="Z21" s="83" t="n">
        <v>0</v>
      </c>
      <c r="AA21" s="83" t="n">
        <v>0</v>
      </c>
      <c r="AB21" s="83" t="n">
        <v>0</v>
      </c>
      <c r="AC21" s="83" t="n">
        <v>0</v>
      </c>
      <c r="AD21" s="83" t="n">
        <v>0</v>
      </c>
      <c r="AE21" s="83" t="n">
        <v>0</v>
      </c>
      <c r="AF21" s="83" t="n">
        <v>0</v>
      </c>
      <c r="AG21" s="83" t="n">
        <v>0</v>
      </c>
      <c r="AH21" s="83" t="n">
        <v>0</v>
      </c>
      <c r="AI21" s="83" t="n">
        <v>0</v>
      </c>
      <c r="AJ21" s="83" t="n">
        <v>0</v>
      </c>
      <c r="AK21" s="83" t="n">
        <v>0</v>
      </c>
      <c r="AL21" s="83" t="n">
        <v>0</v>
      </c>
    </row>
    <row r="22" customFormat="1" s="68">
      <c r="A22" s="74" t="n">
        <v>46162</v>
      </c>
      <c r="B22" s="83" t="n">
        <v>0</v>
      </c>
      <c r="C22" s="83" t="n">
        <v>0</v>
      </c>
      <c r="D22" s="83" t="n">
        <v>0</v>
      </c>
      <c r="E22" s="83" t="n">
        <v>0</v>
      </c>
      <c r="F22" s="83" t="n">
        <v>15005.35</v>
      </c>
      <c r="G22" s="83" t="n">
        <v>0</v>
      </c>
      <c r="H22" s="83" t="n">
        <v>0</v>
      </c>
      <c r="I22" s="83" t="n">
        <v>9869.950000000001</v>
      </c>
      <c r="J22" s="83" t="n">
        <v>0</v>
      </c>
      <c r="K22" s="83" t="n">
        <v>0</v>
      </c>
      <c r="L22" s="83" t="n">
        <v>0</v>
      </c>
      <c r="M22" s="83" t="n">
        <v>0</v>
      </c>
      <c r="N22" s="83" t="n">
        <v>0</v>
      </c>
      <c r="O22" s="83" t="n">
        <v>0</v>
      </c>
      <c r="P22" s="83" t="n">
        <v>0</v>
      </c>
      <c r="Q22" s="83" t="n">
        <v>0</v>
      </c>
      <c r="R22" s="83" t="n">
        <v>0</v>
      </c>
      <c r="S22" s="83" t="n">
        <v>0</v>
      </c>
      <c r="T22" s="83" t="n">
        <v>0</v>
      </c>
      <c r="U22" s="83" t="n">
        <v>0</v>
      </c>
      <c r="V22" s="83" t="n">
        <v>0</v>
      </c>
      <c r="W22" s="83" t="n">
        <v>0</v>
      </c>
      <c r="X22" s="83" t="n">
        <v>0</v>
      </c>
      <c r="Y22" s="83" t="n">
        <v>0</v>
      </c>
      <c r="Z22" s="83" t="n">
        <v>0</v>
      </c>
      <c r="AA22" s="83" t="n">
        <v>0</v>
      </c>
      <c r="AB22" s="83" t="n">
        <v>0</v>
      </c>
      <c r="AC22" s="83" t="n">
        <v>0</v>
      </c>
      <c r="AD22" s="83" t="n">
        <v>0</v>
      </c>
      <c r="AE22" s="83" t="n">
        <v>0</v>
      </c>
      <c r="AF22" s="83" t="n">
        <v>0</v>
      </c>
      <c r="AG22" s="83" t="n">
        <v>0</v>
      </c>
      <c r="AH22" s="83" t="n">
        <v>0</v>
      </c>
      <c r="AI22" s="83" t="n">
        <v>0</v>
      </c>
      <c r="AJ22" s="83" t="n">
        <v>0</v>
      </c>
      <c r="AK22" s="83" t="n">
        <v>0</v>
      </c>
      <c r="AL22" s="83" t="n">
        <v>0</v>
      </c>
    </row>
    <row r="23" customFormat="1" s="68">
      <c r="A23" s="74" t="n">
        <v>46163</v>
      </c>
      <c r="B23" s="83" t="n">
        <v>0</v>
      </c>
      <c r="C23" s="83" t="n">
        <v>0</v>
      </c>
      <c r="D23" s="83" t="n">
        <v>0</v>
      </c>
      <c r="E23" s="83" t="n">
        <v>0</v>
      </c>
      <c r="F23" s="83" t="n">
        <v>14738.29</v>
      </c>
      <c r="G23" s="83" t="n">
        <v>0</v>
      </c>
      <c r="H23" s="83" t="n">
        <v>0</v>
      </c>
      <c r="I23" s="83" t="n">
        <v>0</v>
      </c>
      <c r="J23" s="83" t="n">
        <v>0</v>
      </c>
      <c r="K23" s="83" t="n">
        <v>0</v>
      </c>
      <c r="L23" s="83" t="n">
        <v>0</v>
      </c>
      <c r="M23" s="83" t="n">
        <v>0</v>
      </c>
      <c r="N23" s="83" t="n">
        <v>0</v>
      </c>
      <c r="O23" s="83" t="n">
        <v>0</v>
      </c>
      <c r="P23" s="83" t="n">
        <v>0</v>
      </c>
      <c r="Q23" s="83" t="n">
        <v>0</v>
      </c>
      <c r="R23" s="83" t="n">
        <v>0</v>
      </c>
      <c r="S23" s="83" t="n">
        <v>0</v>
      </c>
      <c r="T23" s="83" t="n">
        <v>0</v>
      </c>
      <c r="U23" s="83" t="n">
        <v>0</v>
      </c>
      <c r="V23" s="83" t="n">
        <v>0</v>
      </c>
      <c r="W23" s="83" t="n">
        <v>0</v>
      </c>
      <c r="X23" s="83" t="n">
        <v>0</v>
      </c>
      <c r="Y23" s="83" t="n">
        <v>0</v>
      </c>
      <c r="Z23" s="83" t="n">
        <v>0</v>
      </c>
      <c r="AA23" s="83" t="n">
        <v>0</v>
      </c>
      <c r="AB23" s="83" t="n">
        <v>0</v>
      </c>
      <c r="AC23" s="83" t="n">
        <v>0</v>
      </c>
      <c r="AD23" s="83" t="n">
        <v>0</v>
      </c>
      <c r="AE23" s="83" t="n">
        <v>0</v>
      </c>
      <c r="AF23" s="83" t="n">
        <v>0</v>
      </c>
      <c r="AG23" s="83" t="n">
        <v>0</v>
      </c>
      <c r="AH23" s="83" t="n">
        <v>0</v>
      </c>
      <c r="AI23" s="83" t="n">
        <v>0</v>
      </c>
      <c r="AJ23" s="83" t="n">
        <v>0</v>
      </c>
      <c r="AK23" s="83" t="n">
        <v>0</v>
      </c>
      <c r="AL23" s="83" t="n">
        <v>0</v>
      </c>
    </row>
    <row r="24" customFormat="1" s="68">
      <c r="A24" s="74" t="n">
        <v>46164</v>
      </c>
      <c r="B24" s="83" t="n">
        <v>0</v>
      </c>
      <c r="C24" s="83" t="n">
        <v>0</v>
      </c>
      <c r="D24" s="83" t="n">
        <v>12199.6</v>
      </c>
      <c r="E24" s="83" t="n">
        <v>0</v>
      </c>
      <c r="F24" s="83" t="n">
        <v>0</v>
      </c>
      <c r="G24" s="83" t="n">
        <v>0</v>
      </c>
      <c r="H24" s="83" t="n">
        <v>0</v>
      </c>
      <c r="I24" s="83" t="n">
        <v>0</v>
      </c>
      <c r="J24" s="83" t="n">
        <v>0</v>
      </c>
      <c r="K24" s="83" t="n">
        <v>0</v>
      </c>
      <c r="L24" s="83" t="n">
        <v>0</v>
      </c>
      <c r="M24" s="83" t="n">
        <v>0</v>
      </c>
      <c r="N24" s="83" t="n">
        <v>0</v>
      </c>
      <c r="O24" s="83" t="n">
        <v>0</v>
      </c>
      <c r="P24" s="83" t="n">
        <v>0</v>
      </c>
      <c r="Q24" s="83" t="n">
        <v>5904.96</v>
      </c>
      <c r="R24" s="83" t="n">
        <v>5004.71</v>
      </c>
      <c r="S24" s="83" t="n">
        <v>31706.94</v>
      </c>
      <c r="T24" s="83" t="n">
        <v>0</v>
      </c>
      <c r="U24" s="83" t="n">
        <v>0</v>
      </c>
      <c r="V24" s="83" t="n">
        <v>0</v>
      </c>
      <c r="W24" s="83" t="n">
        <v>0</v>
      </c>
      <c r="X24" s="83" t="n">
        <v>0</v>
      </c>
      <c r="Y24" s="83" t="n">
        <v>0</v>
      </c>
      <c r="Z24" s="83" t="n">
        <v>0</v>
      </c>
      <c r="AA24" s="83" t="n">
        <v>0</v>
      </c>
      <c r="AB24" s="83" t="n">
        <v>0</v>
      </c>
      <c r="AC24" s="83" t="n">
        <v>0</v>
      </c>
      <c r="AD24" s="83" t="n">
        <v>0</v>
      </c>
      <c r="AE24" s="83" t="n">
        <v>0</v>
      </c>
      <c r="AF24" s="83" t="n">
        <v>0</v>
      </c>
      <c r="AG24" s="83" t="n">
        <v>0</v>
      </c>
      <c r="AH24" s="83" t="n">
        <v>0</v>
      </c>
      <c r="AI24" s="83" t="n">
        <v>0</v>
      </c>
      <c r="AJ24" s="83" t="n">
        <v>0</v>
      </c>
      <c r="AK24" s="83" t="n">
        <v>0</v>
      </c>
      <c r="AL24" s="83" t="n">
        <v>0</v>
      </c>
    </row>
    <row r="25" customFormat="1" s="68">
      <c r="A25" s="74" t="n">
        <v>46165</v>
      </c>
      <c r="B25" s="83" t="n">
        <v>0</v>
      </c>
      <c r="C25" s="83" t="n">
        <v>0</v>
      </c>
      <c r="D25" s="83" t="n">
        <v>0</v>
      </c>
      <c r="E25" s="83" t="n">
        <v>0</v>
      </c>
      <c r="F25" s="83" t="n">
        <v>0</v>
      </c>
      <c r="G25" s="83" t="n">
        <v>0</v>
      </c>
      <c r="H25" s="83" t="n">
        <v>0</v>
      </c>
      <c r="I25" s="83" t="n">
        <v>0</v>
      </c>
      <c r="J25" s="83" t="n">
        <v>0</v>
      </c>
      <c r="K25" s="83" t="n">
        <v>0</v>
      </c>
      <c r="L25" s="83" t="n">
        <v>0</v>
      </c>
      <c r="M25" s="83" t="n">
        <v>0</v>
      </c>
      <c r="N25" s="83" t="n">
        <v>0</v>
      </c>
      <c r="O25" s="83" t="n">
        <v>0</v>
      </c>
      <c r="P25" s="83" t="n">
        <v>0</v>
      </c>
      <c r="Q25" s="83" t="n">
        <v>0</v>
      </c>
      <c r="R25" s="83" t="n">
        <v>0</v>
      </c>
      <c r="S25" s="83" t="n">
        <v>0</v>
      </c>
      <c r="T25" s="83" t="n">
        <v>0</v>
      </c>
      <c r="U25" s="83" t="n">
        <v>0</v>
      </c>
      <c r="V25" s="83" t="n">
        <v>0</v>
      </c>
      <c r="W25" s="83" t="n">
        <v>0</v>
      </c>
      <c r="X25" s="83" t="n">
        <v>0</v>
      </c>
      <c r="Y25" s="83" t="n">
        <v>0</v>
      </c>
      <c r="Z25" s="83" t="n">
        <v>0</v>
      </c>
      <c r="AA25" s="83" t="n">
        <v>0</v>
      </c>
      <c r="AB25" s="83" t="n">
        <v>0</v>
      </c>
      <c r="AC25" s="83" t="n">
        <v>0</v>
      </c>
      <c r="AD25" s="83" t="n">
        <v>0</v>
      </c>
      <c r="AE25" s="83" t="n">
        <v>0</v>
      </c>
      <c r="AF25" s="83" t="n">
        <v>0</v>
      </c>
      <c r="AG25" s="83" t="n">
        <v>0</v>
      </c>
      <c r="AH25" s="83" t="n">
        <v>0</v>
      </c>
      <c r="AI25" s="83" t="n">
        <v>0</v>
      </c>
      <c r="AJ25" s="83" t="n">
        <v>0</v>
      </c>
      <c r="AK25" s="83" t="n">
        <v>0</v>
      </c>
      <c r="AL25" s="83" t="n">
        <v>0</v>
      </c>
    </row>
    <row r="26" customFormat="1" s="68">
      <c r="A26" s="74" t="n">
        <v>46166</v>
      </c>
      <c r="B26" s="83" t="n">
        <v>0</v>
      </c>
      <c r="C26" s="83" t="n">
        <v>0</v>
      </c>
      <c r="D26" s="83" t="n">
        <v>0</v>
      </c>
      <c r="E26" s="83" t="n">
        <v>0</v>
      </c>
      <c r="F26" s="83" t="n">
        <v>33675.1</v>
      </c>
      <c r="G26" s="83" t="n">
        <v>0</v>
      </c>
      <c r="H26" s="83" t="n">
        <v>0</v>
      </c>
      <c r="I26" s="83" t="n">
        <v>0</v>
      </c>
      <c r="J26" s="83" t="n">
        <v>0</v>
      </c>
      <c r="K26" s="83" t="n">
        <v>0</v>
      </c>
      <c r="L26" s="83" t="n">
        <v>0</v>
      </c>
      <c r="M26" s="83" t="n">
        <v>0</v>
      </c>
      <c r="N26" s="83" t="n">
        <v>0</v>
      </c>
      <c r="O26" s="83" t="n">
        <v>0</v>
      </c>
      <c r="P26" s="83" t="n">
        <v>0</v>
      </c>
      <c r="Q26" s="83" t="n">
        <v>0</v>
      </c>
      <c r="R26" s="83" t="n">
        <v>0</v>
      </c>
      <c r="S26" s="83" t="n">
        <v>0</v>
      </c>
      <c r="T26" s="83" t="n">
        <v>0</v>
      </c>
      <c r="U26" s="83" t="n">
        <v>0</v>
      </c>
      <c r="V26" s="83" t="n">
        <v>0</v>
      </c>
      <c r="W26" s="83" t="n">
        <v>0</v>
      </c>
      <c r="X26" s="83" t="n">
        <v>0</v>
      </c>
      <c r="Y26" s="83" t="n">
        <v>0</v>
      </c>
      <c r="Z26" s="83" t="n">
        <v>0</v>
      </c>
      <c r="AA26" s="83" t="n">
        <v>0</v>
      </c>
      <c r="AB26" s="83" t="n">
        <v>0</v>
      </c>
      <c r="AC26" s="83" t="n">
        <v>0</v>
      </c>
      <c r="AD26" s="83" t="n">
        <v>0</v>
      </c>
      <c r="AE26" s="83" t="n">
        <v>0</v>
      </c>
      <c r="AF26" s="83" t="n">
        <v>0</v>
      </c>
      <c r="AG26" s="83" t="n">
        <v>0</v>
      </c>
      <c r="AH26" s="83" t="n">
        <v>0</v>
      </c>
      <c r="AI26" s="83" t="n">
        <v>0</v>
      </c>
      <c r="AJ26" s="83" t="n">
        <v>0</v>
      </c>
      <c r="AK26" s="83" t="n">
        <v>0</v>
      </c>
      <c r="AL26" s="83" t="n">
        <v>0</v>
      </c>
    </row>
    <row r="27" customFormat="1" s="68">
      <c r="A27" s="74" t="n">
        <v>46167</v>
      </c>
      <c r="B27" s="83" t="n">
        <v>50653.76</v>
      </c>
      <c r="C27" s="83" t="n">
        <v>0</v>
      </c>
      <c r="D27" s="83" t="n">
        <v>1021.33</v>
      </c>
      <c r="E27" s="83" t="n">
        <v>0</v>
      </c>
      <c r="F27" s="83" t="n">
        <v>9963.809999999999</v>
      </c>
      <c r="G27" s="83" t="n">
        <v>0</v>
      </c>
      <c r="H27" s="83" t="n">
        <v>47088.5</v>
      </c>
      <c r="I27" s="83" t="n">
        <v>0</v>
      </c>
      <c r="J27" s="83" t="n">
        <v>156768.36</v>
      </c>
      <c r="K27" s="83" t="n">
        <v>41409.26</v>
      </c>
      <c r="L27" s="83" t="n">
        <v>9550.290000000001</v>
      </c>
      <c r="M27" s="83" t="n">
        <v>0</v>
      </c>
      <c r="N27" s="83" t="n">
        <v>15972.17</v>
      </c>
      <c r="O27" s="83">
        <f>'日店铺可提现资金明细（可分配）'!P36</f>
        <v/>
      </c>
      <c r="P27" s="83" t="n">
        <v>276803.91</v>
      </c>
      <c r="Q27" s="83" t="n">
        <v>0</v>
      </c>
      <c r="R27" s="83" t="n">
        <v>475.03</v>
      </c>
      <c r="S27" s="83" t="n">
        <v>3511.78</v>
      </c>
      <c r="T27" s="83" t="n">
        <v>57536.83</v>
      </c>
      <c r="U27" s="83">
        <f>'日店铺可提现资金明细（可分配）'!V36</f>
        <v/>
      </c>
      <c r="V27" s="83" t="n">
        <v>0</v>
      </c>
      <c r="W27" s="83" t="n">
        <v>0</v>
      </c>
      <c r="X27" s="83" t="n">
        <v>0</v>
      </c>
      <c r="Y27" s="83" t="n">
        <v>0</v>
      </c>
      <c r="Z27" s="83" t="n">
        <v>0</v>
      </c>
      <c r="AA27" s="83" t="n">
        <v>0</v>
      </c>
      <c r="AB27" s="83" t="n">
        <v>0</v>
      </c>
      <c r="AC27" s="83" t="n">
        <v>0</v>
      </c>
      <c r="AD27" s="83" t="n">
        <v>0</v>
      </c>
      <c r="AE27" s="83" t="n">
        <v>0</v>
      </c>
      <c r="AF27" s="83" t="n">
        <v>0</v>
      </c>
      <c r="AG27" s="83" t="n">
        <v>0</v>
      </c>
      <c r="AH27" s="83" t="n">
        <v>0</v>
      </c>
      <c r="AI27" s="83" t="n">
        <v>0</v>
      </c>
      <c r="AJ27" s="83" t="n">
        <v>0</v>
      </c>
      <c r="AK27" s="83" t="n">
        <v>0</v>
      </c>
      <c r="AL27" s="83" t="n">
        <v>0</v>
      </c>
    </row>
    <row r="28" customFormat="1" s="68">
      <c r="A28" s="74" t="n">
        <v>46168</v>
      </c>
      <c r="B28" s="83" t="n">
        <v>0</v>
      </c>
      <c r="C28" s="83" t="n">
        <v>0</v>
      </c>
      <c r="D28" s="83" t="n">
        <v>0</v>
      </c>
      <c r="E28" s="83" t="n">
        <v>0</v>
      </c>
      <c r="F28" s="83" t="n">
        <v>10379.32</v>
      </c>
      <c r="G28" s="83" t="n">
        <v>13306.3</v>
      </c>
      <c r="H28" s="83" t="n">
        <v>0</v>
      </c>
      <c r="I28" s="83" t="n">
        <v>0</v>
      </c>
      <c r="J28" s="83" t="n">
        <v>0</v>
      </c>
      <c r="K28" s="83" t="n">
        <v>0</v>
      </c>
      <c r="L28" s="83" t="n">
        <v>811.0700000000001</v>
      </c>
      <c r="M28" s="83" t="n">
        <v>0</v>
      </c>
      <c r="N28" s="83" t="n">
        <v>0</v>
      </c>
      <c r="O28" s="83" t="n">
        <v>0</v>
      </c>
      <c r="P28" s="83" t="n">
        <v>0</v>
      </c>
      <c r="Q28" s="83" t="n">
        <v>0</v>
      </c>
      <c r="R28" s="83" t="n">
        <v>0</v>
      </c>
      <c r="S28" s="83" t="n">
        <v>0</v>
      </c>
      <c r="T28" s="83" t="n">
        <v>0</v>
      </c>
      <c r="U28" s="83" t="n">
        <v>0</v>
      </c>
      <c r="V28" s="83" t="n">
        <v>0</v>
      </c>
      <c r="W28" s="83" t="n">
        <v>0</v>
      </c>
      <c r="X28" s="83" t="n">
        <v>0</v>
      </c>
      <c r="Y28" s="83" t="n">
        <v>0</v>
      </c>
      <c r="Z28" s="83" t="n">
        <v>0</v>
      </c>
      <c r="AA28" s="83" t="n">
        <v>0</v>
      </c>
      <c r="AB28" s="83" t="n">
        <v>0</v>
      </c>
      <c r="AC28" s="83" t="n">
        <v>0</v>
      </c>
      <c r="AD28" s="83" t="n">
        <v>0</v>
      </c>
      <c r="AE28" s="83" t="n">
        <v>0</v>
      </c>
      <c r="AF28" s="83" t="n">
        <v>0</v>
      </c>
      <c r="AG28" s="83" t="n">
        <v>0</v>
      </c>
      <c r="AH28" s="83" t="n">
        <v>0</v>
      </c>
      <c r="AI28" s="83" t="n">
        <v>0</v>
      </c>
      <c r="AJ28" s="83" t="n">
        <v>0</v>
      </c>
      <c r="AK28" s="83" t="n">
        <v>0</v>
      </c>
      <c r="AL28" s="83" t="n">
        <v>0</v>
      </c>
    </row>
    <row r="29" customFormat="1" s="68">
      <c r="A29" s="74" t="n">
        <v>46169</v>
      </c>
      <c r="B29" s="83" t="n">
        <v>0</v>
      </c>
      <c r="C29" s="83" t="n">
        <v>0</v>
      </c>
      <c r="D29" s="83" t="n">
        <v>0</v>
      </c>
      <c r="E29" s="83" t="n">
        <v>0</v>
      </c>
      <c r="F29" s="83" t="n">
        <v>17052.52</v>
      </c>
      <c r="G29" s="83" t="n">
        <v>0</v>
      </c>
      <c r="H29" s="83" t="n">
        <v>0</v>
      </c>
      <c r="I29" s="83" t="n">
        <v>0</v>
      </c>
      <c r="J29" s="83" t="n">
        <v>0</v>
      </c>
      <c r="K29" s="83" t="n">
        <v>0</v>
      </c>
      <c r="L29" s="83" t="n">
        <v>0</v>
      </c>
      <c r="M29" s="83" t="n">
        <v>0</v>
      </c>
      <c r="N29" s="83" t="n">
        <v>0</v>
      </c>
      <c r="O29" s="83" t="n">
        <v>0</v>
      </c>
      <c r="P29" s="83" t="n">
        <v>0</v>
      </c>
      <c r="Q29" s="83" t="n">
        <v>0</v>
      </c>
      <c r="R29" s="83" t="n">
        <v>0</v>
      </c>
      <c r="S29" s="83" t="n">
        <v>0</v>
      </c>
      <c r="T29" s="83" t="n">
        <v>0</v>
      </c>
      <c r="U29" s="83" t="n">
        <v>0</v>
      </c>
      <c r="V29" s="83" t="n">
        <v>0</v>
      </c>
      <c r="W29" s="83" t="n">
        <v>0</v>
      </c>
      <c r="X29" s="83" t="n">
        <v>0</v>
      </c>
      <c r="Y29" s="83" t="n">
        <v>0</v>
      </c>
      <c r="Z29" s="83" t="n">
        <v>0</v>
      </c>
      <c r="AA29" s="83" t="n">
        <v>0</v>
      </c>
      <c r="AB29" s="83" t="n">
        <v>0</v>
      </c>
      <c r="AC29" s="83" t="n">
        <v>0</v>
      </c>
      <c r="AD29" s="83" t="n">
        <v>0</v>
      </c>
      <c r="AE29" s="83" t="n">
        <v>0</v>
      </c>
      <c r="AF29" s="83" t="n">
        <v>0</v>
      </c>
      <c r="AG29" s="83" t="n">
        <v>0</v>
      </c>
      <c r="AH29" s="83" t="n">
        <v>0</v>
      </c>
      <c r="AI29" s="83" t="n">
        <v>0</v>
      </c>
      <c r="AJ29" s="83" t="n">
        <v>0</v>
      </c>
      <c r="AK29" s="83" t="n">
        <v>0</v>
      </c>
      <c r="AL29" s="83" t="n">
        <v>0</v>
      </c>
    </row>
    <row r="30" customFormat="1" s="68">
      <c r="A30" s="74" t="n">
        <v>46170</v>
      </c>
      <c r="B30" s="83" t="n">
        <v>0</v>
      </c>
      <c r="C30" s="83" t="n">
        <v>0</v>
      </c>
      <c r="D30" s="83" t="n">
        <v>0</v>
      </c>
      <c r="E30" s="83" t="n">
        <v>0</v>
      </c>
      <c r="F30" s="83" t="n">
        <v>0</v>
      </c>
      <c r="G30" s="83" t="n">
        <v>0</v>
      </c>
      <c r="H30" s="83" t="n">
        <v>14314.63</v>
      </c>
      <c r="I30" s="83" t="n">
        <v>0</v>
      </c>
      <c r="J30" s="83" t="n">
        <v>0</v>
      </c>
      <c r="K30" s="83" t="n">
        <v>0</v>
      </c>
      <c r="L30" s="83" t="n">
        <v>0</v>
      </c>
      <c r="M30" s="83" t="n">
        <v>0</v>
      </c>
      <c r="N30" s="83" t="n">
        <v>0</v>
      </c>
      <c r="O30" s="83" t="n">
        <v>0</v>
      </c>
      <c r="P30" s="83" t="n">
        <v>0</v>
      </c>
      <c r="Q30" s="83" t="n">
        <v>0</v>
      </c>
      <c r="R30" s="83" t="n">
        <v>0</v>
      </c>
      <c r="S30" s="83" t="n">
        <v>0</v>
      </c>
      <c r="T30" s="83" t="n">
        <v>0</v>
      </c>
      <c r="U30" s="83" t="n">
        <v>0</v>
      </c>
      <c r="V30" s="83" t="n">
        <v>0</v>
      </c>
      <c r="W30" s="83" t="n">
        <v>0</v>
      </c>
      <c r="X30" s="83" t="n">
        <v>0</v>
      </c>
      <c r="Y30" s="83" t="n">
        <v>0</v>
      </c>
      <c r="Z30" s="83" t="n">
        <v>0</v>
      </c>
      <c r="AA30" s="83" t="n">
        <v>0</v>
      </c>
      <c r="AB30" s="83" t="n">
        <v>0</v>
      </c>
      <c r="AC30" s="83" t="n">
        <v>0</v>
      </c>
      <c r="AD30" s="83" t="n">
        <v>0</v>
      </c>
      <c r="AE30" s="83" t="n">
        <v>0</v>
      </c>
      <c r="AF30" s="83" t="n">
        <v>0</v>
      </c>
      <c r="AG30" s="83" t="n">
        <v>0</v>
      </c>
      <c r="AH30" s="83" t="n">
        <v>0</v>
      </c>
      <c r="AI30" s="83" t="n">
        <v>0</v>
      </c>
      <c r="AJ30" s="83" t="n">
        <v>0</v>
      </c>
      <c r="AK30" s="83" t="n">
        <v>0</v>
      </c>
      <c r="AL30" s="83" t="n">
        <v>0</v>
      </c>
    </row>
    <row r="31" customFormat="1" s="68">
      <c r="A31" s="74" t="n">
        <v>46171</v>
      </c>
      <c r="B31" s="83" t="n">
        <v>0</v>
      </c>
      <c r="C31" s="83" t="n">
        <v>0</v>
      </c>
      <c r="D31" s="83" t="n">
        <v>0</v>
      </c>
      <c r="E31" s="83" t="n">
        <v>0</v>
      </c>
      <c r="F31" s="83" t="n">
        <v>0</v>
      </c>
      <c r="G31" s="83" t="n">
        <v>0</v>
      </c>
      <c r="H31" s="83" t="n">
        <v>0</v>
      </c>
      <c r="I31" s="83" t="n">
        <v>0</v>
      </c>
      <c r="J31" s="83" t="n">
        <v>0</v>
      </c>
      <c r="K31" s="83" t="n">
        <v>0</v>
      </c>
      <c r="L31" s="83" t="n">
        <v>0</v>
      </c>
      <c r="M31" s="83" t="n">
        <v>0</v>
      </c>
      <c r="N31" s="83" t="n">
        <v>0</v>
      </c>
      <c r="O31" s="83" t="n">
        <v>0</v>
      </c>
      <c r="P31" s="83" t="n">
        <v>0</v>
      </c>
      <c r="Q31" s="83" t="n">
        <v>0</v>
      </c>
      <c r="R31" s="83" t="n">
        <v>0</v>
      </c>
      <c r="S31" s="83" t="n">
        <v>0</v>
      </c>
      <c r="T31" s="83" t="n">
        <v>0</v>
      </c>
      <c r="U31" s="83" t="n">
        <v>0</v>
      </c>
      <c r="V31" s="83" t="n">
        <v>0</v>
      </c>
      <c r="W31" s="83" t="n">
        <v>0</v>
      </c>
      <c r="X31" s="83" t="n">
        <v>0</v>
      </c>
      <c r="Y31" s="83" t="n">
        <v>0</v>
      </c>
      <c r="Z31" s="83" t="n">
        <v>0</v>
      </c>
      <c r="AA31" s="83" t="n">
        <v>0</v>
      </c>
      <c r="AB31" s="83" t="n">
        <v>0</v>
      </c>
      <c r="AC31" s="83" t="n">
        <v>0</v>
      </c>
      <c r="AD31" s="83" t="n">
        <v>0</v>
      </c>
      <c r="AE31" s="83" t="n">
        <v>0</v>
      </c>
      <c r="AF31" s="83" t="n">
        <v>0</v>
      </c>
      <c r="AG31" s="83" t="n">
        <v>0</v>
      </c>
      <c r="AH31" s="83" t="n">
        <v>0</v>
      </c>
      <c r="AI31" s="83" t="n">
        <v>0</v>
      </c>
      <c r="AJ31" s="83" t="n">
        <v>0</v>
      </c>
      <c r="AK31" s="83" t="n">
        <v>0</v>
      </c>
      <c r="AL31" s="83" t="n">
        <v>0</v>
      </c>
    </row>
    <row r="32" customFormat="1" s="68">
      <c r="A32" s="74" t="n">
        <v>46172</v>
      </c>
      <c r="B32" s="83" t="n">
        <v>0</v>
      </c>
      <c r="C32" s="83" t="n">
        <v>0</v>
      </c>
      <c r="D32" s="83" t="n">
        <v>0</v>
      </c>
      <c r="E32" s="83" t="n">
        <v>0</v>
      </c>
      <c r="F32" s="83" t="n">
        <v>0</v>
      </c>
      <c r="G32" s="83" t="n">
        <v>0</v>
      </c>
      <c r="H32" s="83" t="n">
        <v>0</v>
      </c>
      <c r="I32" s="83" t="n">
        <v>0</v>
      </c>
      <c r="J32" s="83" t="n">
        <v>0</v>
      </c>
      <c r="K32" s="83" t="n">
        <v>0</v>
      </c>
      <c r="L32" s="83" t="n">
        <v>0</v>
      </c>
      <c r="M32" s="83" t="n">
        <v>0</v>
      </c>
      <c r="N32" s="83" t="n">
        <v>0</v>
      </c>
      <c r="O32" s="83" t="n">
        <v>0</v>
      </c>
      <c r="P32" s="83" t="n">
        <v>0</v>
      </c>
      <c r="Q32" s="83" t="n">
        <v>0</v>
      </c>
      <c r="R32" s="83" t="n">
        <v>0</v>
      </c>
      <c r="S32" s="83" t="n">
        <v>0</v>
      </c>
      <c r="T32" s="83" t="n">
        <v>0</v>
      </c>
      <c r="U32" s="83" t="n">
        <v>0</v>
      </c>
      <c r="V32" s="83" t="n">
        <v>0</v>
      </c>
      <c r="W32" s="83" t="n">
        <v>0</v>
      </c>
      <c r="X32" s="83" t="n">
        <v>0</v>
      </c>
      <c r="Y32" s="83" t="n">
        <v>0</v>
      </c>
      <c r="Z32" s="83" t="n">
        <v>0</v>
      </c>
      <c r="AA32" s="83" t="n">
        <v>0</v>
      </c>
      <c r="AB32" s="83" t="n">
        <v>0</v>
      </c>
      <c r="AC32" s="83" t="n">
        <v>0</v>
      </c>
      <c r="AD32" s="83" t="n">
        <v>0</v>
      </c>
      <c r="AE32" s="83" t="n">
        <v>0</v>
      </c>
      <c r="AF32" s="83" t="n">
        <v>0</v>
      </c>
      <c r="AG32" s="83" t="n">
        <v>0</v>
      </c>
      <c r="AH32" s="83" t="n">
        <v>0</v>
      </c>
      <c r="AI32" s="83" t="n">
        <v>0</v>
      </c>
      <c r="AJ32" s="83" t="n">
        <v>0</v>
      </c>
      <c r="AK32" s="83" t="n">
        <v>0</v>
      </c>
      <c r="AL32" s="83" t="n">
        <v>0</v>
      </c>
    </row>
    <row r="33" customFormat="1" s="68">
      <c r="A33" s="74" t="n">
        <v>46173</v>
      </c>
      <c r="B33" s="83" t="n">
        <v>0</v>
      </c>
      <c r="C33" s="83" t="n">
        <v>0</v>
      </c>
      <c r="D33" s="83" t="n">
        <v>0</v>
      </c>
      <c r="E33" s="83" t="n">
        <v>0</v>
      </c>
      <c r="F33" s="83" t="n">
        <v>0</v>
      </c>
      <c r="G33" s="83" t="n">
        <v>0</v>
      </c>
      <c r="H33" s="83" t="n">
        <v>0</v>
      </c>
      <c r="I33" s="83" t="n">
        <v>0</v>
      </c>
      <c r="J33" s="83" t="n">
        <v>0</v>
      </c>
      <c r="K33" s="83" t="n">
        <v>0</v>
      </c>
      <c r="L33" s="83" t="n">
        <v>0</v>
      </c>
      <c r="M33" s="83" t="n">
        <v>0</v>
      </c>
      <c r="N33" s="83" t="n">
        <v>0</v>
      </c>
      <c r="O33" s="83" t="n">
        <v>0</v>
      </c>
      <c r="P33" s="83" t="n">
        <v>0</v>
      </c>
      <c r="Q33" s="83" t="n">
        <v>0</v>
      </c>
      <c r="R33" s="83" t="n">
        <v>0</v>
      </c>
      <c r="S33" s="83" t="n">
        <v>0</v>
      </c>
      <c r="T33" s="83" t="n">
        <v>0</v>
      </c>
      <c r="U33" s="83" t="n">
        <v>0</v>
      </c>
      <c r="V33" s="83" t="n">
        <v>0</v>
      </c>
      <c r="W33" s="83" t="n">
        <v>0</v>
      </c>
      <c r="X33" s="83" t="n">
        <v>0</v>
      </c>
      <c r="Y33" s="83" t="n">
        <v>0</v>
      </c>
      <c r="Z33" s="83" t="n">
        <v>0</v>
      </c>
      <c r="AA33" s="83" t="n">
        <v>0</v>
      </c>
      <c r="AB33" s="83" t="n">
        <v>0</v>
      </c>
      <c r="AC33" s="83" t="n">
        <v>0</v>
      </c>
      <c r="AD33" s="83" t="n">
        <v>0</v>
      </c>
      <c r="AE33" s="83" t="n">
        <v>0</v>
      </c>
      <c r="AF33" s="83" t="n">
        <v>0</v>
      </c>
      <c r="AG33" s="83" t="n">
        <v>0</v>
      </c>
      <c r="AH33" s="83" t="n">
        <v>0</v>
      </c>
      <c r="AI33" s="83" t="n">
        <v>0</v>
      </c>
      <c r="AJ33" s="83" t="n">
        <v>0</v>
      </c>
      <c r="AK33" s="83" t="n">
        <v>0</v>
      </c>
      <c r="AL33" s="83" t="n">
        <v>0</v>
      </c>
    </row>
    <row r="34" customFormat="1" s="68">
      <c r="A34" s="71" t="inlineStr">
        <is>
          <t>提现合计</t>
        </is>
      </c>
      <c r="B34" s="83">
        <f>SUM(B3:B33)</f>
        <v/>
      </c>
      <c r="C34" s="83">
        <f>SUM(C3:C33)</f>
        <v/>
      </c>
      <c r="D34" s="83">
        <f>SUM(D3:D33)</f>
        <v/>
      </c>
      <c r="E34" s="83">
        <f>SUM(E3:E33)</f>
        <v/>
      </c>
      <c r="F34" s="83">
        <f>SUM(F3:F33)</f>
        <v/>
      </c>
      <c r="G34" s="83">
        <f>SUM(G3:G33)</f>
        <v/>
      </c>
      <c r="H34" s="83">
        <f>SUM(H3:H33)</f>
        <v/>
      </c>
      <c r="I34" s="83">
        <f>SUM(I3:I33)</f>
        <v/>
      </c>
      <c r="J34" s="83">
        <f>SUM(J3:J33)</f>
        <v/>
      </c>
      <c r="K34" s="83">
        <f>SUM(K3:K33)</f>
        <v/>
      </c>
      <c r="L34" s="83">
        <f>SUM(L3:L33)</f>
        <v/>
      </c>
      <c r="M34" s="83">
        <f>SUM(M3:M33)</f>
        <v/>
      </c>
      <c r="N34" s="83">
        <f>SUM(N3:N33)</f>
        <v/>
      </c>
      <c r="O34" s="83">
        <f>SUM(O3:O33)</f>
        <v/>
      </c>
      <c r="P34" s="83">
        <f>SUM(P3:P33)</f>
        <v/>
      </c>
      <c r="Q34" s="83">
        <f>SUM(Q3:Q33)</f>
        <v/>
      </c>
      <c r="R34" s="83">
        <f>SUM(R3:R33)</f>
        <v/>
      </c>
      <c r="S34" s="83">
        <f>SUM(S3:S33)</f>
        <v/>
      </c>
      <c r="T34" s="83">
        <f>SUM(T3:T33)</f>
        <v/>
      </c>
      <c r="U34" s="83">
        <f>SUM(U3:U33)</f>
        <v/>
      </c>
      <c r="V34" s="83">
        <f>SUM(V3:V33)</f>
        <v/>
      </c>
      <c r="W34" s="83">
        <f>SUM(W3:W33)</f>
        <v/>
      </c>
      <c r="X34" s="83">
        <f>SUM(X3:X33)</f>
        <v/>
      </c>
      <c r="Y34" s="83">
        <f>SUM(Y3:Y33)</f>
        <v/>
      </c>
      <c r="Z34" s="83">
        <f>SUM(Z3:Z33)</f>
        <v/>
      </c>
      <c r="AA34" s="83">
        <f>SUM(AA3:AA33)</f>
        <v/>
      </c>
      <c r="AB34" s="83">
        <f>SUM(AB3:AB33)</f>
        <v/>
      </c>
      <c r="AC34" s="83">
        <f>SUM(AC3:AC33)</f>
        <v/>
      </c>
      <c r="AD34" s="83">
        <f>SUM(AD3:AD33)</f>
        <v/>
      </c>
      <c r="AE34" s="83">
        <f>SUM(AE3:AE33)</f>
        <v/>
      </c>
      <c r="AF34" s="83">
        <f>SUM(AF3:AF33)</f>
        <v/>
      </c>
      <c r="AG34" s="83">
        <f>SUM(AG3:AG33)</f>
        <v/>
      </c>
      <c r="AH34" s="83">
        <f>SUM(AH3:AH33)</f>
        <v/>
      </c>
      <c r="AI34" s="83">
        <f>SUM(AI3:AI33)</f>
        <v/>
      </c>
      <c r="AJ34" s="83">
        <f>SUM(AJ3:AJ33)</f>
        <v/>
      </c>
      <c r="AK34" s="83">
        <f>SUM(AK3:AK33)</f>
        <v/>
      </c>
      <c r="AL34" s="83">
        <f>SUM(AL3:AL33)</f>
        <v/>
      </c>
    </row>
    <row r="35" ht="22.5" customFormat="1" customHeight="1" s="68">
      <c r="A35" s="71" t="inlineStr">
        <is>
          <t>持卡人</t>
        </is>
      </c>
      <c r="B35" s="73" t="inlineStr">
        <is>
          <t>周振豪</t>
        </is>
      </c>
      <c r="C35" s="73" t="inlineStr">
        <is>
          <t>周振豪</t>
        </is>
      </c>
      <c r="D35" s="73" t="inlineStr">
        <is>
          <t>电子商务-企业</t>
        </is>
      </c>
      <c r="E35" s="73" t="n"/>
      <c r="F35" s="73" t="inlineStr">
        <is>
          <t>电子商务-企业</t>
        </is>
      </c>
      <c r="G35" s="73" t="inlineStr">
        <is>
          <t>电子商务-企业</t>
        </is>
      </c>
      <c r="H35" s="76" t="inlineStr">
        <is>
          <t>喵鸣潮玩-企业</t>
        </is>
      </c>
      <c r="I35" s="76" t="inlineStr">
        <is>
          <t>杨玉英</t>
        </is>
      </c>
      <c r="J35" s="76" t="inlineStr">
        <is>
          <t>杨玉英</t>
        </is>
      </c>
      <c r="K35" s="76" t="inlineStr">
        <is>
          <t>绒绒岛潮玩</t>
        </is>
      </c>
      <c r="L35" s="76" t="inlineStr">
        <is>
          <t>杨玉英</t>
        </is>
      </c>
      <c r="M35" s="73" t="inlineStr">
        <is>
          <t>杨玉英</t>
        </is>
      </c>
      <c r="N35" s="73" t="inlineStr">
        <is>
          <t>电子商务-企业</t>
        </is>
      </c>
      <c r="O35" s="73" t="inlineStr">
        <is>
          <t>周振豪</t>
        </is>
      </c>
      <c r="P35" s="73" t="inlineStr">
        <is>
          <t>周振豪</t>
        </is>
      </c>
      <c r="Q35" s="73" t="inlineStr">
        <is>
          <t>三棉潮玩</t>
        </is>
      </c>
      <c r="R35" s="73" t="inlineStr">
        <is>
          <t>三棉潮玩</t>
        </is>
      </c>
      <c r="S35" s="73" t="inlineStr">
        <is>
          <t>周振豪</t>
        </is>
      </c>
      <c r="T35" s="73" t="inlineStr">
        <is>
          <t>杨丽燕</t>
        </is>
      </c>
      <c r="U35" s="73" t="inlineStr">
        <is>
          <t>周振豪</t>
        </is>
      </c>
      <c r="V35" s="73" t="inlineStr">
        <is>
          <t>郭海莹</t>
        </is>
      </c>
      <c r="W35" s="73" t="inlineStr">
        <is>
          <t>奶油兔</t>
        </is>
      </c>
      <c r="X35" s="73" t="inlineStr">
        <is>
          <t>奶油兔</t>
        </is>
      </c>
      <c r="Y35" s="73" t="inlineStr">
        <is>
          <t>王琳</t>
        </is>
      </c>
      <c r="Z35" s="73" t="inlineStr">
        <is>
          <t>王琳</t>
        </is>
      </c>
      <c r="AA35" s="73" t="inlineStr">
        <is>
          <t>萌造社</t>
        </is>
      </c>
      <c r="AB35" s="73" t="inlineStr">
        <is>
          <t>萌造社</t>
        </is>
      </c>
      <c r="AC35" s="73" t="inlineStr">
        <is>
          <t>萌造社</t>
        </is>
      </c>
      <c r="AD35" s="73" t="inlineStr">
        <is>
          <t>萌造社</t>
        </is>
      </c>
      <c r="AE35" s="73" t="inlineStr">
        <is>
          <t>王琴</t>
        </is>
      </c>
      <c r="AF35" s="73" t="inlineStr">
        <is>
          <t>杨玉英</t>
        </is>
      </c>
      <c r="AG35" s="73" t="inlineStr">
        <is>
          <t>电子商务-企业</t>
        </is>
      </c>
      <c r="AH35" s="73" t="inlineStr">
        <is>
          <t>周振民</t>
        </is>
      </c>
      <c r="AI35" s="73" t="inlineStr">
        <is>
          <t>周振豪</t>
        </is>
      </c>
      <c r="AJ35" s="73" t="inlineStr">
        <is>
          <t>电子商务-企业</t>
        </is>
      </c>
      <c r="AK35" s="73" t="n"/>
      <c r="AL35" s="73" t="inlineStr">
        <is>
          <t>王琳</t>
        </is>
      </c>
    </row>
    <row r="36" ht="22.5" customFormat="1" customHeight="1" s="68">
      <c r="A36" s="71" t="inlineStr">
        <is>
          <t>银行</t>
        </is>
      </c>
      <c r="B36" s="73" t="inlineStr">
        <is>
          <t>工商银行(8818)</t>
        </is>
      </c>
      <c r="C36" s="73" t="inlineStr">
        <is>
          <t>工商银行(8818)</t>
        </is>
      </c>
      <c r="D36" s="73" t="inlineStr">
        <is>
          <t>基本户</t>
        </is>
      </c>
      <c r="E36" s="73" t="n"/>
      <c r="F36" s="73" t="inlineStr">
        <is>
          <t>基本户</t>
        </is>
      </c>
      <c r="G36" s="73" t="inlineStr">
        <is>
          <t>基本户</t>
        </is>
      </c>
      <c r="H36" s="73" t="inlineStr">
        <is>
          <t>基本户</t>
        </is>
      </c>
      <c r="I36" s="73" t="inlineStr">
        <is>
          <t>邮政储蓄银行(0437）</t>
        </is>
      </c>
      <c r="J36" s="73" t="inlineStr">
        <is>
          <t>邮政储蓄银行(0437）</t>
        </is>
      </c>
      <c r="K36" s="73" t="inlineStr">
        <is>
          <t>基本户</t>
        </is>
      </c>
      <c r="L36" s="73" t="inlineStr">
        <is>
          <t>邮政储蓄银行(0437）</t>
        </is>
      </c>
      <c r="M36" s="73" t="inlineStr">
        <is>
          <t>邮政储蓄银行(0437）</t>
        </is>
      </c>
      <c r="N36" s="73" t="inlineStr">
        <is>
          <t>基本户</t>
        </is>
      </c>
      <c r="O36" s="73" t="inlineStr">
        <is>
          <t>建设银行(7260)</t>
        </is>
      </c>
      <c r="P36" s="73" t="inlineStr">
        <is>
          <t>建设银行(7260)</t>
        </is>
      </c>
      <c r="Q36" s="73" t="inlineStr">
        <is>
          <t>基本户（5634）</t>
        </is>
      </c>
      <c r="R36" s="73" t="inlineStr">
        <is>
          <t>基本户（5634）</t>
        </is>
      </c>
      <c r="S36" s="73" t="inlineStr">
        <is>
          <t>工商银行(8818)</t>
        </is>
      </c>
      <c r="T36" s="73" t="inlineStr">
        <is>
          <t>农业银行（8379）</t>
        </is>
      </c>
      <c r="U36" s="73" t="inlineStr">
        <is>
          <t>工商银行(8818)</t>
        </is>
      </c>
      <c r="V36" s="73" t="inlineStr">
        <is>
          <t>中国银行(2440)</t>
        </is>
      </c>
      <c r="W36" s="73" t="inlineStr">
        <is>
          <t>基本户</t>
        </is>
      </c>
      <c r="X36" s="73" t="inlineStr">
        <is>
          <t>基本户</t>
        </is>
      </c>
      <c r="Y36" s="73" t="inlineStr">
        <is>
          <t>招商银行（9493）</t>
        </is>
      </c>
      <c r="Z36" s="73" t="inlineStr">
        <is>
          <t>招商银行（9493）</t>
        </is>
      </c>
      <c r="AA36" s="73" t="inlineStr">
        <is>
          <t>基本户</t>
        </is>
      </c>
      <c r="AB36" s="73" t="inlineStr">
        <is>
          <t>基本户</t>
        </is>
      </c>
      <c r="AC36" s="73" t="inlineStr">
        <is>
          <t>基本户</t>
        </is>
      </c>
      <c r="AD36" s="73" t="inlineStr">
        <is>
          <t>基本户</t>
        </is>
      </c>
      <c r="AE36" s="73" t="inlineStr">
        <is>
          <t>建设银行（8426）</t>
        </is>
      </c>
      <c r="AF36" s="73" t="n"/>
      <c r="AG36" s="73" t="inlineStr">
        <is>
          <t>基本户</t>
        </is>
      </c>
      <c r="AH36" s="73" t="inlineStr">
        <is>
          <t>工商银行(6496)</t>
        </is>
      </c>
      <c r="AI36" s="73" t="inlineStr">
        <is>
          <t>工商银行(8818)</t>
        </is>
      </c>
      <c r="AJ36" s="73" t="inlineStr">
        <is>
          <t>基本户</t>
        </is>
      </c>
      <c r="AK36" s="73" t="n"/>
      <c r="AL36" s="73" t="inlineStr">
        <is>
          <t>招商银行(9493)</t>
        </is>
      </c>
    </row>
    <row r="37">
      <c r="B37" s="70">
        <f>B34='日店铺可提现资金明细（可分配）'!C36</f>
        <v/>
      </c>
      <c r="D37" s="70">
        <f>D34='日店铺可提现资金明细（可分配）'!E36</f>
        <v/>
      </c>
      <c r="F37" s="70">
        <f>F34='日店铺可提现资金明细（可分配）'!G36</f>
        <v/>
      </c>
      <c r="G37" s="70">
        <f>G34='日店铺可提现资金明细（可分配）'!H36</f>
        <v/>
      </c>
      <c r="H37" s="70">
        <f>H34='日店铺可提现资金明细（可分配）'!I36</f>
        <v/>
      </c>
      <c r="I37" s="70">
        <f>I34='日店铺可提现资金明细（可分配）'!J36</f>
        <v/>
      </c>
      <c r="J37" s="70">
        <f>'日店铺可提现资金明细（可分配）'!K36=J34</f>
        <v/>
      </c>
      <c r="K37" s="70">
        <f>K34='日店铺可提现资金明细（可分配）'!L36</f>
        <v/>
      </c>
      <c r="L37" s="70">
        <f>L34='日店铺可提现资金明细（可分配）'!M36</f>
        <v/>
      </c>
      <c r="N37" s="70">
        <f>N34='日店铺可提现资金明细（可分配）'!O36</f>
        <v/>
      </c>
      <c r="O37" s="70">
        <f>O34='日店铺可提现资金明细（可分配）'!P36</f>
        <v/>
      </c>
      <c r="P37" s="70">
        <f>P34='日店铺可提现资金明细（可分配）'!Q36</f>
        <v/>
      </c>
      <c r="Q37" s="70">
        <f>Q34='日店铺可提现资金明细（可分配）'!R36</f>
        <v/>
      </c>
      <c r="R37" s="70">
        <f>R34='日店铺可提现资金明细（可分配）'!S36</f>
        <v/>
      </c>
      <c r="S37" s="70">
        <f>S34='日店铺可提现资金明细（可分配）'!T36</f>
        <v/>
      </c>
      <c r="T37" s="70">
        <f>T34='日店铺可提现资金明细（可分配）'!U36</f>
        <v/>
      </c>
      <c r="U37" s="70">
        <f>U34='日店铺可提现资金明细（可分配）'!V36</f>
        <v/>
      </c>
      <c r="V37" s="70">
        <f>V34='日店铺可提现资金明细（可分配）'!W36</f>
        <v/>
      </c>
      <c r="W37" s="70">
        <f>W34='日店铺可提现资金明细（可分配）'!X36</f>
        <v/>
      </c>
      <c r="X37" s="70">
        <f>X34='日店铺可提现资金明细（可分配）'!Y36</f>
        <v/>
      </c>
      <c r="Z37" s="70">
        <f>Z34='日店铺可提现资金明细（可分配）'!AA36</f>
        <v/>
      </c>
      <c r="AA37" s="70">
        <f>AA34='日店铺可提现资金明细（可分配）'!AB36</f>
        <v/>
      </c>
      <c r="AC37" s="70">
        <f>AC34='日店铺可提现资金明细（可分配）'!AD36</f>
        <v/>
      </c>
      <c r="AF37" s="70">
        <f>AF34='日店铺可提现资金明细（可分配）'!AG36</f>
        <v/>
      </c>
      <c r="AG37" s="70">
        <f>AG34='日店铺可提现资金明细（可分配）'!Q36</f>
        <v/>
      </c>
      <c r="AH37" s="70">
        <f>AH34='日店铺可提现资金明细（可分配）'!AI36</f>
        <v/>
      </c>
      <c r="AK37" s="70">
        <f>AK34='日店铺可提现资金明细（可分配）'!AL36</f>
        <v/>
      </c>
      <c r="AL37" s="70">
        <f>AL34='日店铺可提现资金明细（可分配）'!AM36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.025" defaultRowHeight="13.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2"/>
  <sheetViews>
    <sheetView tabSelected="1" zoomScale="85" zoomScaleNormal="85" workbookViewId="0">
      <pane xSplit="1" ySplit="2" topLeftCell="R3" activePane="bottomRight" state="frozen"/>
      <selection activeCell="A1" sqref="A1"/>
      <selection pane="topRight" activeCell="A1" sqref="A1"/>
      <selection pane="bottomLeft" activeCell="A1" sqref="A1"/>
      <selection pane="bottomRight" activeCell="AF27" sqref="AF27"/>
    </sheetView>
  </sheetViews>
  <sheetFormatPr baseColWidth="8" defaultColWidth="9.025" defaultRowHeight="13.5" outlineLevelCol="0"/>
  <cols>
    <col width="13.2083333333333" customWidth="1" style="27" min="1" max="1"/>
    <col width="16.1916666666667" customWidth="1" style="27" min="2" max="2"/>
    <col width="13.9333333333333" customWidth="1" style="27" min="3" max="4"/>
    <col width="14.2" customWidth="1" style="27" min="5" max="5"/>
    <col width="8.491666666666671" customWidth="1" style="27" min="6" max="6"/>
    <col width="13.9333333333333" customWidth="1" style="27" min="7" max="7"/>
    <col width="12.8" customWidth="1" style="27" min="8" max="10"/>
    <col width="13.9333333333333" customWidth="1" style="27" min="11" max="11"/>
    <col width="12.8" customWidth="1" style="27" min="12" max="13"/>
    <col width="13.9333333333333" customWidth="1" style="27" min="14" max="14"/>
    <col width="12.8" customWidth="1" style="27" min="15" max="15"/>
    <col width="11.725" customWidth="1" style="27" min="16" max="16"/>
    <col width="13.9333333333333" customWidth="1" style="27" min="17" max="17"/>
    <col width="12.8" customWidth="1" style="11" min="18" max="18"/>
    <col width="11.725" customWidth="1" style="11" min="19" max="19"/>
    <col width="12.8" customWidth="1" style="11" min="20" max="21"/>
    <col width="11.725" customWidth="1" style="11" min="22" max="22"/>
    <col width="12.8" customWidth="1" style="11" min="23" max="23"/>
    <col width="11.725" customWidth="1" style="11" min="24" max="24"/>
    <col width="12.8" customWidth="1" style="11" min="25" max="26"/>
    <col width="9.675000000000001" customWidth="1" style="11" min="27" max="27"/>
    <col width="11.725" customWidth="1" style="82" min="28" max="28"/>
    <col width="8.491666666666671" customWidth="1" style="28" min="29" max="30"/>
    <col width="6.53333333333333" customWidth="1" style="82" min="31" max="31"/>
    <col width="12.8" customWidth="1" style="82" min="32" max="33"/>
    <col width="11.725" customWidth="1" style="82" min="34" max="34"/>
    <col width="9.53333333333333" customWidth="1" style="82" min="35" max="35"/>
    <col width="11.725" customWidth="1" style="82" min="36" max="36"/>
    <col width="9.53333333333333" customWidth="1" style="82" min="37" max="37"/>
    <col width="7.31666666666667" customWidth="1" style="82" min="38" max="38"/>
    <col width="10.5916666666667" customWidth="1" style="82" min="39" max="39"/>
  </cols>
  <sheetData>
    <row r="1" ht="48" customHeight="1" s="82">
      <c r="A1" s="12" t="inlineStr">
        <is>
          <t xml:space="preserve">  店铺 
日期 </t>
        </is>
      </c>
      <c r="B1" s="13" t="inlineStr">
        <is>
          <t>汇总本日资金池</t>
        </is>
      </c>
      <c r="C1" s="29" t="inlineStr">
        <is>
          <t>Wawa小厨的店</t>
        </is>
      </c>
      <c r="D1" s="29" t="inlineStr">
        <is>
          <t>wawa同人社的店</t>
        </is>
      </c>
      <c r="E1" s="30" t="inlineStr">
        <is>
          <t>WAWA同人社</t>
        </is>
      </c>
      <c r="F1" s="31" t="inlineStr">
        <is>
          <t>wawa同人社</t>
        </is>
      </c>
      <c r="G1" s="32" t="inlineStr">
        <is>
          <t>wawa同人社</t>
        </is>
      </c>
      <c r="H1" s="33" t="inlineStr">
        <is>
          <t>wawa同人社</t>
        </is>
      </c>
      <c r="I1" s="32" t="inlineStr">
        <is>
          <t>Meow meow</t>
        </is>
      </c>
      <c r="J1" s="29" t="inlineStr">
        <is>
          <t>Meow meow</t>
        </is>
      </c>
      <c r="K1" s="29" t="inlineStr">
        <is>
          <t>Meow市集</t>
        </is>
      </c>
      <c r="L1" s="84" t="inlineStr">
        <is>
          <t>Meow市集</t>
        </is>
      </c>
      <c r="M1" s="30" t="inlineStr">
        <is>
          <t>Meow市集</t>
        </is>
      </c>
      <c r="N1" s="33" t="inlineStr">
        <is>
          <t>MEOW市集</t>
        </is>
      </c>
      <c r="O1" s="32" t="inlineStr">
        <is>
          <t>甜心花栗</t>
        </is>
      </c>
      <c r="P1" s="30" t="inlineStr">
        <is>
          <t>小马娃社</t>
        </is>
      </c>
      <c r="Q1" s="29" t="inlineStr">
        <is>
          <t>甜心花栗的店</t>
        </is>
      </c>
      <c r="R1" s="29" t="inlineStr">
        <is>
          <t>也困</t>
        </is>
      </c>
      <c r="S1" s="30" t="inlineStr">
        <is>
          <t>也困微店</t>
        </is>
      </c>
      <c r="T1" s="30" t="inlineStr">
        <is>
          <t>海盐泡泡</t>
        </is>
      </c>
      <c r="U1" s="29" t="inlineStr">
        <is>
          <t>脑细胞仓库</t>
        </is>
      </c>
      <c r="V1" s="30" t="inlineStr">
        <is>
          <t>脑细胞仓库</t>
        </is>
      </c>
      <c r="W1" s="30" t="inlineStr">
        <is>
          <t>什么羊</t>
        </is>
      </c>
      <c r="X1" s="30" t="inlineStr">
        <is>
          <t>奶油兔司CreamyBunny</t>
        </is>
      </c>
      <c r="Y1" s="29" t="inlineStr">
        <is>
          <t>奶油兔司CreamyBunny</t>
        </is>
      </c>
      <c r="Z1" s="29" t="inlineStr">
        <is>
          <t>海苔不睡</t>
        </is>
      </c>
      <c r="AA1" s="32" t="inlineStr">
        <is>
          <t>海苔不睡</t>
        </is>
      </c>
      <c r="AB1" s="30" t="inlineStr">
        <is>
          <t>来一口大米饭</t>
        </is>
      </c>
      <c r="AC1" s="29" t="inlineStr">
        <is>
          <t>来口大米饭</t>
        </is>
      </c>
      <c r="AD1" s="32" t="inlineStr">
        <is>
          <t>来口大米饭</t>
        </is>
      </c>
      <c r="AE1" s="33" t="inlineStr">
        <is>
          <t>来口大米饭</t>
        </is>
      </c>
      <c r="AF1" s="29" t="inlineStr">
        <is>
          <t>洋葱鼠鼠咪</t>
        </is>
      </c>
      <c r="AG1" s="30" t="inlineStr">
        <is>
          <t>猫猫布丁</t>
        </is>
      </c>
      <c r="AH1" s="35" t="inlineStr">
        <is>
          <t>猫屿物语</t>
        </is>
      </c>
      <c r="AI1" s="36" t="inlineStr">
        <is>
          <t>猫屿物语</t>
        </is>
      </c>
      <c r="AJ1" s="37" t="inlineStr">
        <is>
          <t>猫屿物语</t>
        </is>
      </c>
      <c r="AK1" s="38" t="inlineStr">
        <is>
          <t>猫屿物语</t>
        </is>
      </c>
      <c r="AL1" s="36" t="inlineStr">
        <is>
          <t>玻璃海</t>
        </is>
      </c>
      <c r="AM1" s="36" t="inlineStr">
        <is>
          <t>玻璃喵</t>
        </is>
      </c>
    </row>
    <row r="2" customFormat="1" s="22">
      <c r="A2" s="54" t="inlineStr">
        <is>
          <t>各平台可提现金</t>
        </is>
      </c>
      <c r="B2" s="54" t="n"/>
      <c r="C2" s="40" t="inlineStr">
        <is>
          <t>小红书</t>
        </is>
      </c>
      <c r="D2" s="41" t="inlineStr">
        <is>
          <t>小红书</t>
        </is>
      </c>
      <c r="E2" s="42" t="inlineStr">
        <is>
          <t>微店</t>
        </is>
      </c>
      <c r="F2" s="43" t="inlineStr">
        <is>
          <t>拼多多</t>
        </is>
      </c>
      <c r="G2" s="44" t="inlineStr">
        <is>
          <t>抖店</t>
        </is>
      </c>
      <c r="H2" s="45" t="inlineStr">
        <is>
          <t>淘宝</t>
        </is>
      </c>
      <c r="I2" s="44" t="inlineStr">
        <is>
          <t>抖店</t>
        </is>
      </c>
      <c r="J2" s="41" t="inlineStr">
        <is>
          <t>小红书</t>
        </is>
      </c>
      <c r="K2" s="41" t="inlineStr">
        <is>
          <t>小红书</t>
        </is>
      </c>
      <c r="L2" s="44" t="inlineStr">
        <is>
          <t>抖店</t>
        </is>
      </c>
      <c r="M2" s="42" t="inlineStr">
        <is>
          <t>微店</t>
        </is>
      </c>
      <c r="N2" s="45" t="inlineStr">
        <is>
          <t>淘宝</t>
        </is>
      </c>
      <c r="O2" s="46" t="inlineStr">
        <is>
          <t>抖店</t>
        </is>
      </c>
      <c r="P2" s="47" t="inlineStr">
        <is>
          <t>微店</t>
        </is>
      </c>
      <c r="Q2" s="48" t="inlineStr">
        <is>
          <t>小红书</t>
        </is>
      </c>
      <c r="R2" s="41" t="inlineStr">
        <is>
          <t>小红书</t>
        </is>
      </c>
      <c r="S2" s="42" t="inlineStr">
        <is>
          <t>微店</t>
        </is>
      </c>
      <c r="T2" s="42" t="inlineStr">
        <is>
          <t>微店</t>
        </is>
      </c>
      <c r="U2" s="41" t="inlineStr">
        <is>
          <t>小红书</t>
        </is>
      </c>
      <c r="V2" s="42" t="inlineStr">
        <is>
          <t>微店</t>
        </is>
      </c>
      <c r="W2" s="42" t="inlineStr">
        <is>
          <t>微店</t>
        </is>
      </c>
      <c r="X2" s="42" t="inlineStr">
        <is>
          <t>微店</t>
        </is>
      </c>
      <c r="Y2" s="41" t="inlineStr">
        <is>
          <t>小红书</t>
        </is>
      </c>
      <c r="Z2" s="41" t="inlineStr">
        <is>
          <t>小红书</t>
        </is>
      </c>
      <c r="AA2" s="44" t="inlineStr">
        <is>
          <t>抖店</t>
        </is>
      </c>
      <c r="AB2" s="47" t="inlineStr">
        <is>
          <t>微店</t>
        </is>
      </c>
      <c r="AC2" s="48" t="inlineStr">
        <is>
          <t>小红书</t>
        </is>
      </c>
      <c r="AD2" s="46" t="inlineStr">
        <is>
          <t>抖店</t>
        </is>
      </c>
      <c r="AE2" s="49" t="inlineStr">
        <is>
          <t>淘宝</t>
        </is>
      </c>
      <c r="AF2" s="48" t="inlineStr">
        <is>
          <t>小红书</t>
        </is>
      </c>
      <c r="AG2" s="47" t="inlineStr">
        <is>
          <t>微店</t>
        </is>
      </c>
      <c r="AH2" s="48" t="inlineStr">
        <is>
          <t>小红书</t>
        </is>
      </c>
      <c r="AI2" s="47" t="inlineStr">
        <is>
          <t>微店</t>
        </is>
      </c>
      <c r="AJ2" s="50" t="inlineStr">
        <is>
          <t>拼多多</t>
        </is>
      </c>
      <c r="AK2" s="49" t="inlineStr">
        <is>
          <t>淘宝</t>
        </is>
      </c>
      <c r="AL2" s="51" t="inlineStr">
        <is>
          <t>微店</t>
        </is>
      </c>
      <c r="AM2" s="51" t="inlineStr">
        <is>
          <t>微店</t>
        </is>
      </c>
    </row>
    <row r="3" customFormat="1" s="22">
      <c r="A3" s="54" t="inlineStr">
        <is>
          <t>期初值</t>
        </is>
      </c>
      <c r="B3" s="85">
        <f>SUM(C3:AM3)</f>
        <v/>
      </c>
      <c r="C3" s="86" t="n"/>
      <c r="D3" s="85" t="n"/>
      <c r="E3" s="85" t="n"/>
      <c r="F3" s="85" t="n"/>
      <c r="G3" s="85" t="n"/>
      <c r="H3" s="85" t="n"/>
      <c r="I3" s="85" t="n"/>
      <c r="J3" s="85" t="n"/>
      <c r="K3" s="85" t="n"/>
      <c r="L3" s="85" t="n"/>
      <c r="M3" s="85" t="n"/>
      <c r="N3" s="85" t="n"/>
      <c r="O3" s="87" t="n"/>
      <c r="P3" s="87" t="n"/>
      <c r="Q3" s="88" t="n"/>
      <c r="R3" s="85" t="n"/>
      <c r="S3" s="85" t="n"/>
      <c r="T3" s="85" t="n"/>
      <c r="U3" s="85" t="n"/>
      <c r="V3" s="85" t="n"/>
      <c r="W3" s="54" t="n"/>
      <c r="X3" s="55" t="n"/>
      <c r="Y3" s="85" t="n"/>
      <c r="Z3" s="85" t="n"/>
      <c r="AA3" s="85" t="n"/>
      <c r="AB3" s="87" t="n"/>
      <c r="AC3" s="85" t="n"/>
      <c r="AD3" s="87" t="n"/>
      <c r="AE3" s="87" t="n"/>
      <c r="AF3" s="87" t="n"/>
      <c r="AG3" s="87" t="n"/>
      <c r="AH3" s="87" t="n"/>
      <c r="AI3" s="87" t="n"/>
      <c r="AJ3" s="87" t="n"/>
      <c r="AK3" s="87" t="n"/>
      <c r="AL3" s="89" t="n"/>
      <c r="AM3" s="89" t="n"/>
    </row>
    <row r="4">
      <c r="A4" s="90" t="n">
        <v>46143</v>
      </c>
      <c r="B4" s="85">
        <f>SUM(C4:AM4)</f>
        <v/>
      </c>
      <c r="C4" s="88" t="n"/>
      <c r="D4" s="88" t="n"/>
      <c r="E4" s="88" t="n"/>
      <c r="F4" s="88" t="n"/>
      <c r="G4" s="88" t="n"/>
      <c r="H4" s="88" t="n"/>
      <c r="I4" s="88" t="n"/>
      <c r="J4" s="88" t="n">
        <v>391</v>
      </c>
      <c r="K4" s="88" t="n">
        <v>14314.3</v>
      </c>
      <c r="L4" s="88" t="n"/>
      <c r="M4" s="88" t="n"/>
      <c r="N4" s="88" t="n"/>
      <c r="O4" s="88" t="n"/>
      <c r="P4" s="88" t="n"/>
      <c r="Q4" s="88" t="n"/>
      <c r="R4" s="88" t="n">
        <v>399.64</v>
      </c>
      <c r="S4" s="88" t="n"/>
      <c r="T4" s="88" t="n"/>
      <c r="U4" s="88" t="n">
        <v>849.8699999999999</v>
      </c>
      <c r="V4" s="88" t="n"/>
      <c r="W4" s="88" t="n"/>
      <c r="X4" s="88" t="n"/>
      <c r="Y4" s="88" t="n"/>
      <c r="Z4" s="88" t="n"/>
      <c r="AA4" s="88" t="n"/>
      <c r="AB4" s="87" t="n"/>
      <c r="AC4" s="88" t="n"/>
      <c r="AD4" s="87" t="n"/>
      <c r="AE4" s="87" t="n"/>
      <c r="AF4" s="87" t="n"/>
      <c r="AG4" s="87" t="n"/>
      <c r="AH4" s="87" t="n"/>
      <c r="AI4" s="87" t="n"/>
      <c r="AJ4" s="87" t="n"/>
      <c r="AK4" s="87" t="n"/>
      <c r="AL4" s="89" t="n"/>
      <c r="AM4" s="87" t="n"/>
    </row>
    <row r="5">
      <c r="A5" s="90" t="n">
        <v>46144</v>
      </c>
      <c r="B5" s="85">
        <f>SUM(C5:AM5)</f>
        <v/>
      </c>
      <c r="C5" s="88" t="n"/>
      <c r="D5" s="88" t="n"/>
      <c r="E5" s="88" t="n"/>
      <c r="F5" s="88" t="n"/>
      <c r="G5" s="88" t="n"/>
      <c r="H5" s="88" t="n"/>
      <c r="I5" s="88" t="n"/>
      <c r="J5" s="88" t="n">
        <v>863.11</v>
      </c>
      <c r="K5" s="88" t="n">
        <v>-49.4</v>
      </c>
      <c r="L5" s="88" t="n"/>
      <c r="M5" s="88" t="n"/>
      <c r="N5" s="88" t="n"/>
      <c r="O5" s="88" t="n"/>
      <c r="P5" s="88" t="n"/>
      <c r="Q5" s="88" t="n"/>
      <c r="R5" s="88" t="n">
        <v>85.49000000000001</v>
      </c>
      <c r="S5" s="88" t="n"/>
      <c r="T5" s="88" t="n"/>
      <c r="U5" s="88" t="n">
        <v>1476.09</v>
      </c>
      <c r="V5" s="88" t="n"/>
      <c r="W5" s="88" t="n"/>
      <c r="X5" s="88" t="n"/>
      <c r="Y5" s="88" t="n"/>
      <c r="Z5" s="88" t="n"/>
      <c r="AA5" s="88" t="n"/>
      <c r="AB5" s="87" t="n"/>
      <c r="AC5" s="88" t="n"/>
      <c r="AD5" s="87" t="n"/>
      <c r="AE5" s="87" t="n"/>
      <c r="AF5" s="87" t="n"/>
      <c r="AG5" s="87" t="n"/>
      <c r="AH5" s="87" t="n"/>
      <c r="AI5" s="87" t="n"/>
      <c r="AJ5" s="87" t="n"/>
      <c r="AK5" s="87" t="n"/>
      <c r="AL5" s="89" t="n"/>
      <c r="AM5" s="87" t="n"/>
    </row>
    <row r="6">
      <c r="A6" s="90" t="n">
        <v>46145</v>
      </c>
      <c r="B6" s="85">
        <f>SUM(C6:AM6)</f>
        <v/>
      </c>
      <c r="C6" s="88" t="n"/>
      <c r="D6" s="88" t="n"/>
      <c r="E6" s="88" t="n"/>
      <c r="F6" s="88" t="n"/>
      <c r="G6" s="88" t="n"/>
      <c r="H6" s="88" t="n"/>
      <c r="I6" s="88" t="n"/>
      <c r="J6" s="88" t="n">
        <v>513</v>
      </c>
      <c r="K6" s="88" t="n"/>
      <c r="L6" s="88" t="n"/>
      <c r="M6" s="88" t="n"/>
      <c r="N6" s="88" t="n"/>
      <c r="O6" s="88" t="n"/>
      <c r="P6" s="88" t="n"/>
      <c r="Q6" s="88" t="n"/>
      <c r="R6" s="88" t="n">
        <v>263.42</v>
      </c>
      <c r="S6" s="88" t="n"/>
      <c r="T6" s="88" t="n"/>
      <c r="U6" s="88" t="n">
        <v>2067.58</v>
      </c>
      <c r="V6" s="88" t="n"/>
      <c r="W6" s="88" t="n"/>
      <c r="X6" s="88" t="n"/>
      <c r="Y6" s="88" t="n"/>
      <c r="Z6" s="88" t="n"/>
      <c r="AA6" s="88" t="n"/>
      <c r="AB6" s="87" t="n"/>
      <c r="AC6" s="88" t="n"/>
      <c r="AD6" s="87" t="n"/>
      <c r="AE6" s="87" t="n"/>
      <c r="AF6" s="87" t="n"/>
      <c r="AG6" s="87" t="n"/>
      <c r="AH6" s="87" t="n"/>
      <c r="AI6" s="87" t="n"/>
      <c r="AJ6" s="87" t="n"/>
      <c r="AK6" s="87" t="n"/>
      <c r="AL6" s="89" t="n"/>
      <c r="AM6" s="87" t="n"/>
    </row>
    <row r="7">
      <c r="A7" s="90" t="n">
        <v>46146</v>
      </c>
      <c r="B7" s="85">
        <f>SUM(C7:AM7)</f>
        <v/>
      </c>
      <c r="C7" s="88" t="n"/>
      <c r="D7" s="88" t="n"/>
      <c r="E7" s="88" t="n"/>
      <c r="F7" s="88" t="n"/>
      <c r="G7" s="88" t="n"/>
      <c r="H7" s="88" t="n"/>
      <c r="I7" s="88" t="n"/>
      <c r="J7" s="88" t="n">
        <v>1033.6</v>
      </c>
      <c r="K7" s="88" t="n">
        <v>928.9</v>
      </c>
      <c r="L7" s="88" t="n"/>
      <c r="M7" s="88" t="n"/>
      <c r="N7" s="88" t="n"/>
      <c r="O7" s="88" t="n"/>
      <c r="P7" s="88" t="n"/>
      <c r="Q7" s="88" t="n"/>
      <c r="R7" s="88" t="n">
        <v>4025.99</v>
      </c>
      <c r="S7" s="88" t="n"/>
      <c r="T7" s="88" t="n"/>
      <c r="U7" s="88" t="n">
        <v>1643.08</v>
      </c>
      <c r="V7" s="88" t="n"/>
      <c r="W7" s="88" t="n"/>
      <c r="X7" s="88" t="n"/>
      <c r="Y7" s="88" t="n"/>
      <c r="Z7" s="88" t="n"/>
      <c r="AA7" s="88" t="n"/>
      <c r="AB7" s="87" t="n"/>
      <c r="AC7" s="88" t="n"/>
      <c r="AD7" s="87" t="n"/>
      <c r="AE7" s="87" t="n"/>
      <c r="AF7" s="87" t="n"/>
      <c r="AG7" s="87" t="n"/>
      <c r="AH7" s="87" t="n"/>
      <c r="AI7" s="87" t="n"/>
      <c r="AJ7" s="87" t="n"/>
      <c r="AK7" s="87" t="n"/>
      <c r="AL7" s="89" t="n"/>
      <c r="AM7" s="87" t="n"/>
    </row>
    <row r="8">
      <c r="A8" s="90" t="n">
        <v>46147</v>
      </c>
      <c r="B8" s="85">
        <f>SUM(C8:AM8)</f>
        <v/>
      </c>
      <c r="C8" s="88" t="n"/>
      <c r="D8" s="88" t="n"/>
      <c r="E8" s="88" t="n"/>
      <c r="F8" s="88" t="n"/>
      <c r="G8" s="88" t="n"/>
      <c r="H8" s="88" t="n"/>
      <c r="I8" s="88" t="n"/>
      <c r="J8" s="88" t="n">
        <v>325</v>
      </c>
      <c r="K8" s="88" t="n">
        <v>10696.15</v>
      </c>
      <c r="L8" s="88" t="n"/>
      <c r="M8" s="88" t="n"/>
      <c r="N8" s="88" t="n"/>
      <c r="O8" s="88" t="n"/>
      <c r="P8" s="88" t="n"/>
      <c r="Q8" s="88" t="n"/>
      <c r="R8" s="88" t="n">
        <v>216.71</v>
      </c>
      <c r="S8" s="88" t="n"/>
      <c r="T8" s="88" t="n"/>
      <c r="U8" s="88" t="n">
        <v>1302.17</v>
      </c>
      <c r="V8" s="88" t="n"/>
      <c r="W8" s="88" t="n"/>
      <c r="X8" s="88" t="n"/>
      <c r="Y8" s="88" t="n"/>
      <c r="Z8" s="88" t="n"/>
      <c r="AA8" s="88" t="n"/>
      <c r="AB8" s="87" t="n"/>
      <c r="AC8" s="88" t="n"/>
      <c r="AD8" s="87" t="n"/>
      <c r="AE8" s="87" t="n"/>
      <c r="AF8" s="87" t="n"/>
      <c r="AG8" s="87" t="n"/>
      <c r="AH8" s="87" t="n"/>
      <c r="AI8" s="87" t="n"/>
      <c r="AJ8" s="87" t="n"/>
      <c r="AK8" s="87" t="n"/>
      <c r="AL8" s="89" t="n"/>
      <c r="AM8" s="87" t="n"/>
    </row>
    <row r="9">
      <c r="A9" s="90" t="n">
        <v>46148</v>
      </c>
      <c r="B9" s="85">
        <f>SUM(C9:AM9)</f>
        <v/>
      </c>
      <c r="C9" s="88" t="n"/>
      <c r="D9" s="88" t="n"/>
      <c r="E9" s="88" t="n"/>
      <c r="F9" s="88" t="n"/>
      <c r="G9" s="88" t="n"/>
      <c r="H9" s="88" t="n"/>
      <c r="I9" s="88" t="n"/>
      <c r="J9" s="88" t="n">
        <v>1290.1</v>
      </c>
      <c r="K9" s="88" t="n">
        <v>2235.07</v>
      </c>
      <c r="L9" s="88" t="n"/>
      <c r="M9" s="88" t="n"/>
      <c r="N9" s="88" t="n"/>
      <c r="O9" s="88" t="n"/>
      <c r="P9" s="88" t="n"/>
      <c r="Q9" s="88" t="n"/>
      <c r="R9" s="88" t="n">
        <v>256.47</v>
      </c>
      <c r="S9" s="88" t="n"/>
      <c r="T9" s="88" t="n"/>
      <c r="U9" s="88" t="n">
        <v>1028.79</v>
      </c>
      <c r="V9" s="88" t="n"/>
      <c r="W9" s="88" t="n"/>
      <c r="X9" s="88" t="n"/>
      <c r="Y9" s="88" t="n"/>
      <c r="Z9" s="88" t="n"/>
      <c r="AA9" s="88" t="n"/>
      <c r="AB9" s="87" t="n"/>
      <c r="AC9" s="88" t="n"/>
      <c r="AD9" s="87" t="n"/>
      <c r="AE9" s="87" t="n"/>
      <c r="AF9" s="87" t="n"/>
      <c r="AG9" s="87" t="n"/>
      <c r="AH9" s="87" t="n"/>
      <c r="AI9" s="87" t="n"/>
      <c r="AJ9" s="87" t="n"/>
      <c r="AK9" s="87" t="n"/>
      <c r="AL9" s="89" t="n"/>
      <c r="AM9" s="87" t="n"/>
    </row>
    <row r="10">
      <c r="A10" s="90" t="n">
        <v>46149</v>
      </c>
      <c r="B10" s="85">
        <f>SUM(C10:AM10)</f>
        <v/>
      </c>
      <c r="C10" s="88" t="n"/>
      <c r="D10" s="88" t="n"/>
      <c r="E10" s="88" t="n"/>
      <c r="F10" s="88" t="n"/>
      <c r="G10" s="88" t="n"/>
      <c r="H10" s="88" t="n"/>
      <c r="I10" s="88" t="n"/>
      <c r="J10" s="88" t="n">
        <v>8855.870000000001</v>
      </c>
      <c r="K10" s="88" t="n">
        <v>3503.3</v>
      </c>
      <c r="L10" s="88" t="n"/>
      <c r="M10" s="88" t="n"/>
      <c r="N10" s="88" t="n"/>
      <c r="O10" s="88" t="n"/>
      <c r="P10" s="88" t="n"/>
      <c r="Q10" s="88" t="n"/>
      <c r="R10" s="88" t="n">
        <v>434.4</v>
      </c>
      <c r="S10" s="88" t="n"/>
      <c r="T10" s="88" t="n"/>
      <c r="U10" s="88" t="n">
        <v>760.41</v>
      </c>
      <c r="V10" s="88" t="n"/>
      <c r="W10" s="88" t="n"/>
      <c r="X10" s="88" t="n"/>
      <c r="Y10" s="88" t="n"/>
      <c r="Z10" s="88" t="n"/>
      <c r="AA10" s="88" t="n"/>
      <c r="AB10" s="87" t="n"/>
      <c r="AC10" s="88" t="n"/>
      <c r="AD10" s="87" t="n"/>
      <c r="AE10" s="87" t="n"/>
      <c r="AF10" s="87" t="n"/>
      <c r="AG10" s="87" t="n"/>
      <c r="AH10" s="87" t="n">
        <v>34.49</v>
      </c>
      <c r="AI10" s="87" t="n"/>
      <c r="AJ10" s="87" t="n"/>
      <c r="AK10" s="87" t="n"/>
      <c r="AL10" s="89" t="n"/>
      <c r="AM10" s="87" t="n"/>
    </row>
    <row r="11">
      <c r="A11" s="90" t="n">
        <v>46150</v>
      </c>
      <c r="B11" s="85">
        <f>SUM(C11:AM11)</f>
        <v/>
      </c>
      <c r="C11" s="88" t="n"/>
      <c r="D11" s="88" t="n"/>
      <c r="E11" s="88" t="n"/>
      <c r="F11" s="88" t="n"/>
      <c r="G11" s="88" t="n"/>
      <c r="H11" s="88" t="n"/>
      <c r="I11" s="88" t="n"/>
      <c r="J11" s="88" t="n">
        <v>190.95</v>
      </c>
      <c r="K11" s="88" t="n">
        <v>10232.39</v>
      </c>
      <c r="L11" s="88" t="n"/>
      <c r="M11" s="88" t="n"/>
      <c r="N11" s="88" t="n"/>
      <c r="O11" s="88" t="n"/>
      <c r="P11" s="88" t="n"/>
      <c r="Q11" s="88" t="n"/>
      <c r="R11" s="88" t="n">
        <v>309.15</v>
      </c>
      <c r="S11" s="88" t="n"/>
      <c r="T11" s="88" t="n"/>
      <c r="U11" s="88" t="n">
        <v>1469.09</v>
      </c>
      <c r="V11" s="88" t="n"/>
      <c r="W11" s="88" t="n"/>
      <c r="X11" s="88" t="n"/>
      <c r="Y11" s="88" t="n"/>
      <c r="Z11" s="88" t="n"/>
      <c r="AA11" s="88" t="n"/>
      <c r="AB11" s="87" t="n"/>
      <c r="AC11" s="88" t="n"/>
      <c r="AD11" s="87" t="n"/>
      <c r="AE11" s="87" t="n"/>
      <c r="AF11" s="87" t="n"/>
      <c r="AG11" s="87" t="n"/>
      <c r="AH11" s="87" t="n"/>
      <c r="AI11" s="87" t="n"/>
      <c r="AJ11" s="87" t="n"/>
      <c r="AK11" s="87" t="n"/>
      <c r="AL11" s="89" t="n"/>
      <c r="AM11" s="87" t="n"/>
    </row>
    <row r="12">
      <c r="A12" s="90" t="n">
        <v>46151</v>
      </c>
      <c r="B12" s="85">
        <f>SUM(C12:AM12)</f>
        <v/>
      </c>
      <c r="C12" s="88" t="n"/>
      <c r="D12" s="88" t="n"/>
      <c r="E12" s="88" t="n"/>
      <c r="F12" s="88" t="n"/>
      <c r="G12" s="88" t="n"/>
      <c r="H12" s="88" t="n"/>
      <c r="I12" s="88" t="n"/>
      <c r="J12" s="88" t="n">
        <v>265.05</v>
      </c>
      <c r="K12" s="88" t="n">
        <v>2533.3</v>
      </c>
      <c r="L12" s="88" t="n"/>
      <c r="M12" s="88" t="n"/>
      <c r="N12" s="88" t="n"/>
      <c r="O12" s="88" t="n"/>
      <c r="P12" s="88" t="n"/>
      <c r="Q12" s="88" t="n"/>
      <c r="R12" s="88" t="n">
        <v>528.78</v>
      </c>
      <c r="S12" s="88" t="n"/>
      <c r="T12" s="88" t="n"/>
      <c r="U12" s="88" t="n">
        <v>1928.39</v>
      </c>
      <c r="V12" s="88" t="n"/>
      <c r="W12" s="88" t="n"/>
      <c r="X12" s="88" t="n"/>
      <c r="Y12" s="88" t="n"/>
      <c r="Z12" s="88" t="n"/>
      <c r="AA12" s="88" t="n"/>
      <c r="AB12" s="87" t="n"/>
      <c r="AC12" s="88" t="n"/>
      <c r="AD12" s="87" t="n"/>
      <c r="AE12" s="87" t="n"/>
      <c r="AF12" s="87" t="n"/>
      <c r="AG12" s="87" t="n"/>
      <c r="AH12" s="87" t="n"/>
      <c r="AI12" s="87" t="n"/>
      <c r="AJ12" s="87" t="n"/>
      <c r="AK12" s="87" t="n"/>
      <c r="AL12" s="89" t="n"/>
      <c r="AM12" s="87" t="n"/>
    </row>
    <row r="13">
      <c r="A13" s="90" t="n">
        <v>46152</v>
      </c>
      <c r="B13" s="85">
        <f>SUM(C13:AM13)</f>
        <v/>
      </c>
      <c r="C13" s="88" t="n"/>
      <c r="D13" s="88" t="n"/>
      <c r="E13" s="88" t="n"/>
      <c r="F13" s="88" t="n"/>
      <c r="G13" s="88" t="n"/>
      <c r="H13" s="88" t="n"/>
      <c r="I13" s="88" t="n"/>
      <c r="J13" s="88" t="n">
        <v>74</v>
      </c>
      <c r="K13" s="88" t="n">
        <v>3102.75</v>
      </c>
      <c r="L13" s="88" t="n"/>
      <c r="M13" s="88" t="n"/>
      <c r="N13" s="88" t="n"/>
      <c r="O13" s="88" t="n"/>
      <c r="P13" s="88" t="n"/>
      <c r="Q13" s="88" t="n"/>
      <c r="R13" s="88" t="n">
        <v>742.49</v>
      </c>
      <c r="S13" s="88" t="n"/>
      <c r="T13" s="88" t="n"/>
      <c r="U13" s="88" t="n">
        <v>1743.47</v>
      </c>
      <c r="V13" s="88" t="n"/>
      <c r="W13" s="88" t="n"/>
      <c r="X13" s="88" t="n"/>
      <c r="Y13" s="88" t="n"/>
      <c r="Z13" s="88" t="n"/>
      <c r="AA13" s="88" t="n"/>
      <c r="AB13" s="87" t="n"/>
      <c r="AC13" s="88" t="n"/>
      <c r="AD13" s="87" t="n"/>
      <c r="AE13" s="87" t="n"/>
      <c r="AF13" s="87" t="n"/>
      <c r="AG13" s="87" t="n"/>
      <c r="AH13" s="87" t="n"/>
      <c r="AI13" s="87" t="n"/>
      <c r="AJ13" s="87" t="n"/>
      <c r="AK13" s="87" t="n"/>
      <c r="AL13" s="89" t="n"/>
      <c r="AM13" s="87" t="n"/>
    </row>
    <row r="14">
      <c r="A14" s="90" t="n">
        <v>46153</v>
      </c>
      <c r="B14" s="85">
        <f>SUM(C14:AM14)</f>
        <v/>
      </c>
      <c r="C14" s="88" t="n"/>
      <c r="D14" s="88" t="n"/>
      <c r="E14" s="88" t="n"/>
      <c r="F14" s="88" t="n"/>
      <c r="G14" s="88" t="n"/>
      <c r="H14" s="88" t="n"/>
      <c r="I14" s="88" t="n"/>
      <c r="J14" s="88" t="n">
        <v>130.15</v>
      </c>
      <c r="K14" s="88" t="n">
        <v>3415.1</v>
      </c>
      <c r="L14" s="88" t="n"/>
      <c r="M14" s="88" t="n"/>
      <c r="N14" s="88" t="n"/>
      <c r="O14" s="88" t="n"/>
      <c r="P14" s="88" t="n"/>
      <c r="Q14" s="88" t="n"/>
      <c r="R14" s="88" t="n">
        <v>819.12</v>
      </c>
      <c r="S14" s="88" t="n"/>
      <c r="T14" s="88" t="n"/>
      <c r="U14" s="88" t="n">
        <v>1028.79</v>
      </c>
      <c r="V14" s="88" t="n"/>
      <c r="W14" s="88" t="n"/>
      <c r="X14" s="88" t="n"/>
      <c r="Y14" s="88" t="n"/>
      <c r="Z14" s="88" t="n"/>
      <c r="AA14" s="88" t="n"/>
      <c r="AB14" s="87" t="n"/>
      <c r="AC14" s="88" t="n"/>
      <c r="AD14" s="87" t="n"/>
      <c r="AE14" s="87" t="n"/>
      <c r="AF14" s="87" t="n"/>
      <c r="AG14" s="87" t="n"/>
      <c r="AH14" s="87" t="n"/>
      <c r="AI14" s="87" t="n"/>
      <c r="AJ14" s="87" t="n"/>
      <c r="AK14" s="87" t="n"/>
      <c r="AL14" s="89" t="n"/>
      <c r="AM14" s="87" t="n"/>
    </row>
    <row r="15">
      <c r="A15" s="90" t="n">
        <v>46154</v>
      </c>
      <c r="B15" s="85">
        <f>SUM(C15:AM15)</f>
        <v/>
      </c>
      <c r="C15" s="88" t="n"/>
      <c r="D15" s="88" t="n"/>
      <c r="E15" s="88" t="n"/>
      <c r="F15" s="88" t="n"/>
      <c r="G15" s="88" t="n"/>
      <c r="H15" s="88" t="n"/>
      <c r="I15" s="88" t="n"/>
      <c r="J15" s="88" t="n">
        <v>494</v>
      </c>
      <c r="K15" s="88" t="n">
        <v>7356.95</v>
      </c>
      <c r="L15" s="88" t="n"/>
      <c r="M15" s="88" t="n"/>
      <c r="N15" s="88" t="n"/>
      <c r="O15" s="88" t="n"/>
      <c r="P15" s="88" t="n"/>
      <c r="Q15" s="88" t="n"/>
      <c r="R15" s="88" t="n">
        <v>403.58</v>
      </c>
      <c r="S15" s="88" t="n"/>
      <c r="T15" s="88" t="n"/>
      <c r="U15" s="88" t="n">
        <v>1162.98</v>
      </c>
      <c r="V15" s="88" t="n"/>
      <c r="W15" s="88" t="n"/>
      <c r="X15" s="88" t="n"/>
      <c r="Y15" s="88" t="n"/>
      <c r="Z15" s="88" t="n"/>
      <c r="AA15" s="88" t="n"/>
      <c r="AB15" s="87" t="n"/>
      <c r="AC15" s="88" t="n"/>
      <c r="AD15" s="87" t="n"/>
      <c r="AE15" s="87" t="n"/>
      <c r="AF15" s="87" t="n"/>
      <c r="AG15" s="87" t="n"/>
      <c r="AH15" s="87" t="n"/>
      <c r="AI15" s="87" t="n"/>
      <c r="AJ15" s="87" t="n"/>
      <c r="AK15" s="87" t="n"/>
      <c r="AL15" s="89" t="n"/>
      <c r="AM15" s="87" t="n"/>
    </row>
    <row r="16">
      <c r="A16" s="90" t="n">
        <v>46155</v>
      </c>
      <c r="B16" s="85">
        <f>SUM(C16:AM16)</f>
        <v/>
      </c>
      <c r="C16" s="88" t="n"/>
      <c r="D16" s="88" t="n"/>
      <c r="E16" s="88" t="n"/>
      <c r="F16" s="88" t="n"/>
      <c r="G16" s="88" t="n"/>
      <c r="H16" s="88" t="n"/>
      <c r="I16" s="88" t="n"/>
      <c r="J16" s="88" t="n">
        <v>172.9</v>
      </c>
      <c r="K16" s="88" t="n">
        <v>8046.849999999999</v>
      </c>
      <c r="L16" s="88" t="n"/>
      <c r="M16" s="88" t="n"/>
      <c r="N16" s="88" t="n"/>
      <c r="O16" s="88" t="n"/>
      <c r="P16" s="88" t="n"/>
      <c r="Q16" s="88" t="n"/>
      <c r="R16" s="88" t="n">
        <v>454.24</v>
      </c>
      <c r="S16" s="88" t="n"/>
      <c r="T16" s="88" t="n"/>
      <c r="U16" s="88" t="n">
        <v>760.41</v>
      </c>
      <c r="V16" s="88" t="n"/>
      <c r="W16" s="88" t="n"/>
      <c r="X16" s="88" t="n"/>
      <c r="Y16" s="88" t="n"/>
      <c r="Z16" s="88" t="n"/>
      <c r="AA16" s="88" t="n"/>
      <c r="AB16" s="87" t="n"/>
      <c r="AC16" s="88" t="n"/>
      <c r="AD16" s="87" t="n"/>
      <c r="AE16" s="87" t="n"/>
      <c r="AF16" s="87" t="n"/>
      <c r="AG16" s="87" t="n"/>
      <c r="AH16" s="87" t="n"/>
      <c r="AI16" s="87" t="n"/>
      <c r="AJ16" s="87" t="n"/>
      <c r="AK16" s="87" t="n"/>
      <c r="AL16" s="89" t="n"/>
      <c r="AM16" s="87" t="n"/>
    </row>
    <row r="17">
      <c r="A17" s="90" t="n">
        <v>46156</v>
      </c>
      <c r="B17" s="85">
        <f>SUM(C17:AM17)</f>
        <v/>
      </c>
      <c r="C17" s="88" t="n"/>
      <c r="D17" s="88" t="n"/>
      <c r="E17" s="88" t="n"/>
      <c r="F17" s="88" t="n"/>
      <c r="G17" s="88" t="n"/>
      <c r="H17" s="88" t="n"/>
      <c r="I17" s="88" t="n"/>
      <c r="J17" s="88" t="n">
        <v>191.6</v>
      </c>
      <c r="K17" s="88" t="n">
        <v>2774.31</v>
      </c>
      <c r="L17" s="88" t="n"/>
      <c r="M17" s="88" t="n"/>
      <c r="N17" s="88" t="n"/>
      <c r="O17" s="88" t="n"/>
      <c r="P17" s="88" t="n"/>
      <c r="Q17" s="88" t="n"/>
      <c r="R17" s="88" t="n">
        <v>311.14</v>
      </c>
      <c r="S17" s="88" t="n"/>
      <c r="T17" s="88" t="n"/>
      <c r="U17" s="88" t="n">
        <v>1391.63</v>
      </c>
      <c r="V17" s="88" t="n"/>
      <c r="W17" s="88" t="n"/>
      <c r="X17" s="88" t="n"/>
      <c r="Y17" s="88" t="n"/>
      <c r="Z17" s="88" t="n"/>
      <c r="AA17" s="88" t="n"/>
      <c r="AB17" s="87" t="n"/>
      <c r="AC17" s="88" t="n"/>
      <c r="AD17" s="87" t="n"/>
      <c r="AE17" s="87" t="n"/>
      <c r="AF17" s="87" t="n"/>
      <c r="AG17" s="87" t="n"/>
      <c r="AH17" s="87" t="n"/>
      <c r="AI17" s="87" t="n"/>
      <c r="AJ17" s="87" t="n"/>
      <c r="AK17" s="87" t="n"/>
      <c r="AL17" s="89" t="n"/>
      <c r="AM17" s="87" t="n"/>
    </row>
    <row r="18">
      <c r="A18" s="90" t="n">
        <v>46157</v>
      </c>
      <c r="B18" s="85">
        <f>SUM(C18:AM18)</f>
        <v/>
      </c>
      <c r="C18" s="88" t="n"/>
      <c r="D18" s="88" t="n"/>
      <c r="E18" s="88" t="n"/>
      <c r="F18" s="88" t="n"/>
      <c r="G18" s="88" t="n"/>
      <c r="H18" s="88" t="n"/>
      <c r="I18" s="88" t="n"/>
      <c r="J18" s="88" t="n">
        <v>296.4</v>
      </c>
      <c r="K18" s="88" t="n">
        <v>2643.4</v>
      </c>
      <c r="L18" s="88" t="n"/>
      <c r="M18" s="88" t="n"/>
      <c r="N18" s="88" t="n"/>
      <c r="O18" s="88" t="n"/>
      <c r="P18" s="88" t="n"/>
      <c r="Q18" s="88" t="n"/>
      <c r="R18" s="88" t="n">
        <v>1862.83</v>
      </c>
      <c r="S18" s="88" t="n"/>
      <c r="T18" s="88" t="n"/>
      <c r="U18" s="88" t="n">
        <v>894.5999999999999</v>
      </c>
      <c r="V18" s="88" t="n"/>
      <c r="W18" s="88" t="n"/>
      <c r="X18" s="88" t="n"/>
      <c r="Y18" s="88" t="n"/>
      <c r="Z18" s="88" t="n"/>
      <c r="AA18" s="88" t="n"/>
      <c r="AB18" s="87" t="n"/>
      <c r="AC18" s="88" t="n"/>
      <c r="AD18" s="87" t="n"/>
      <c r="AE18" s="87" t="n"/>
      <c r="AF18" s="87" t="n"/>
      <c r="AG18" s="87" t="n"/>
      <c r="AH18" s="87" t="n"/>
      <c r="AI18" s="87" t="n"/>
      <c r="AJ18" s="87" t="n"/>
      <c r="AK18" s="87" t="n"/>
      <c r="AL18" s="89" t="n"/>
      <c r="AM18" s="87" t="n"/>
    </row>
    <row r="19">
      <c r="A19" s="90" t="n">
        <v>46158</v>
      </c>
      <c r="B19" s="85">
        <f>SUM(C19:AM19)</f>
        <v/>
      </c>
      <c r="C19" s="88" t="n"/>
      <c r="D19" s="88" t="n"/>
      <c r="E19" s="88" t="n"/>
      <c r="F19" s="88" t="n"/>
      <c r="G19" s="88" t="n"/>
      <c r="H19" s="88" t="n"/>
      <c r="I19" s="88" t="n"/>
      <c r="J19" s="88" t="n">
        <v>200.45</v>
      </c>
      <c r="K19" s="88" t="n">
        <v>2496.4</v>
      </c>
      <c r="L19" s="88" t="n"/>
      <c r="M19" s="88" t="n"/>
      <c r="N19" s="88" t="n"/>
      <c r="O19" s="88" t="n"/>
      <c r="P19" s="88" t="n"/>
      <c r="Q19" s="88" t="n"/>
      <c r="R19" s="88" t="n">
        <v>1903.57</v>
      </c>
      <c r="S19" s="88" t="n"/>
      <c r="T19" s="88" t="n"/>
      <c r="U19" s="88" t="n">
        <v>1366.9</v>
      </c>
      <c r="V19" s="88" t="n"/>
      <c r="W19" s="88" t="n"/>
      <c r="X19" s="88" t="n"/>
      <c r="Y19" s="88" t="n"/>
      <c r="Z19" s="88" t="n"/>
      <c r="AA19" s="88" t="n"/>
      <c r="AB19" s="87" t="n"/>
      <c r="AC19" s="88" t="n"/>
      <c r="AD19" s="87" t="n"/>
      <c r="AE19" s="87" t="n"/>
      <c r="AF19" s="87" t="n"/>
      <c r="AG19" s="87" t="n"/>
      <c r="AH19" s="87" t="n">
        <v>-0.3</v>
      </c>
      <c r="AI19" s="87" t="n"/>
      <c r="AJ19" s="87" t="n"/>
      <c r="AK19" s="87" t="n"/>
      <c r="AL19" s="89" t="n"/>
      <c r="AM19" s="87" t="n"/>
    </row>
    <row r="20">
      <c r="A20" s="90" t="n">
        <v>46159</v>
      </c>
      <c r="B20" s="85">
        <f>SUM(C20:AM20)</f>
        <v/>
      </c>
      <c r="C20" s="88" t="n"/>
      <c r="D20" s="88" t="n"/>
      <c r="E20" s="88" t="n"/>
      <c r="F20" s="88" t="n"/>
      <c r="G20" s="88" t="n"/>
      <c r="H20" s="88" t="n"/>
      <c r="I20" s="88" t="n"/>
      <c r="J20" s="88" t="n">
        <v>463.75</v>
      </c>
      <c r="K20" s="88" t="n">
        <v>3181.05</v>
      </c>
      <c r="L20" s="88" t="n"/>
      <c r="M20" s="88" t="n"/>
      <c r="N20" s="88" t="n"/>
      <c r="O20" s="88" t="n"/>
      <c r="P20" s="88" t="n"/>
      <c r="Q20" s="88" t="n"/>
      <c r="R20" s="88" t="n">
        <v>446.33</v>
      </c>
      <c r="S20" s="88" t="n"/>
      <c r="T20" s="88" t="n"/>
      <c r="U20" s="88" t="n">
        <v>805.14</v>
      </c>
      <c r="V20" s="88" t="n"/>
      <c r="W20" s="88" t="n"/>
      <c r="X20" s="88" t="n"/>
      <c r="Y20" s="88" t="n"/>
      <c r="Z20" s="88" t="n"/>
      <c r="AA20" s="88" t="n"/>
      <c r="AB20" s="87" t="n"/>
      <c r="AC20" s="88" t="n"/>
      <c r="AD20" s="87" t="n"/>
      <c r="AE20" s="87" t="n"/>
      <c r="AF20" s="87" t="n"/>
      <c r="AG20" s="87" t="n"/>
      <c r="AH20" s="87" t="n"/>
      <c r="AI20" s="87" t="n"/>
      <c r="AJ20" s="87" t="n"/>
      <c r="AK20" s="87" t="n"/>
      <c r="AL20" s="89" t="n"/>
      <c r="AM20" s="87" t="n"/>
    </row>
    <row r="21">
      <c r="A21" s="90" t="n">
        <v>46160</v>
      </c>
      <c r="B21" s="85">
        <f>SUM(C21:AM21)</f>
        <v/>
      </c>
      <c r="C21" s="88" t="n"/>
      <c r="D21" s="88" t="n"/>
      <c r="E21" s="88" t="n"/>
      <c r="F21" s="88" t="n"/>
      <c r="G21" s="88" t="n"/>
      <c r="H21" s="88" t="n"/>
      <c r="I21" s="88" t="n"/>
      <c r="J21" s="88" t="n">
        <v>228.95</v>
      </c>
      <c r="K21" s="88" t="n">
        <v>3745.7</v>
      </c>
      <c r="L21" s="88" t="n"/>
      <c r="M21" s="88" t="n"/>
      <c r="N21" s="88" t="n"/>
      <c r="O21" s="88" t="n"/>
      <c r="P21" s="88" t="n"/>
      <c r="Q21" s="88" t="n"/>
      <c r="R21" s="88" t="n">
        <v>634.21</v>
      </c>
      <c r="S21" s="88" t="n"/>
      <c r="T21" s="88" t="n"/>
      <c r="U21" s="88" t="n">
        <v>2316.23</v>
      </c>
      <c r="V21" s="88" t="n"/>
      <c r="W21" s="88" t="n"/>
      <c r="X21" s="88" t="n"/>
      <c r="Y21" s="88" t="n"/>
      <c r="Z21" s="88" t="n"/>
      <c r="AA21" s="88" t="n"/>
      <c r="AB21" s="87" t="n"/>
      <c r="AC21" s="88" t="n"/>
      <c r="AD21" s="87" t="n"/>
      <c r="AE21" s="87" t="n"/>
      <c r="AF21" s="87" t="n"/>
      <c r="AG21" s="87" t="n"/>
      <c r="AH21" s="87" t="n"/>
      <c r="AI21" s="87" t="n"/>
      <c r="AJ21" s="87" t="n"/>
      <c r="AK21" s="87" t="n"/>
      <c r="AL21" s="89" t="n"/>
      <c r="AM21" s="87" t="n"/>
    </row>
    <row r="22">
      <c r="A22" s="90" t="n">
        <v>46161</v>
      </c>
      <c r="B22" s="85">
        <f>SUM(C22:AM22)</f>
        <v/>
      </c>
      <c r="C22" s="88" t="n"/>
      <c r="D22" s="88" t="n"/>
      <c r="E22" s="88" t="n"/>
      <c r="F22" s="88" t="n"/>
      <c r="G22" s="88" t="n"/>
      <c r="H22" s="88" t="n"/>
      <c r="I22" s="88" t="n"/>
      <c r="J22" s="88" t="n">
        <v>1254.95</v>
      </c>
      <c r="K22" s="88" t="n">
        <v>3670.2</v>
      </c>
      <c r="L22" s="88" t="n"/>
      <c r="M22" s="88" t="n"/>
      <c r="N22" s="88" t="n"/>
      <c r="O22" s="88" t="n"/>
      <c r="P22" s="88" t="n"/>
      <c r="Q22" s="88" t="n"/>
      <c r="R22" s="88" t="n">
        <v>575.55</v>
      </c>
      <c r="S22" s="88" t="n"/>
      <c r="T22" s="88" t="n"/>
      <c r="U22" s="88" t="n">
        <v>1476.09</v>
      </c>
      <c r="V22" s="88" t="n"/>
      <c r="W22" s="88" t="n"/>
      <c r="X22" s="88" t="n"/>
      <c r="Y22" s="88" t="n"/>
      <c r="Z22" s="88" t="n"/>
      <c r="AA22" s="88" t="n"/>
      <c r="AB22" s="87" t="n"/>
      <c r="AC22" s="88" t="n"/>
      <c r="AD22" s="87" t="n"/>
      <c r="AE22" s="87" t="n"/>
      <c r="AF22" s="87" t="n"/>
      <c r="AG22" s="87" t="n"/>
      <c r="AH22" s="87" t="n"/>
      <c r="AI22" s="87" t="n"/>
      <c r="AJ22" s="87" t="n"/>
      <c r="AK22" s="87" t="n"/>
      <c r="AL22" s="89" t="n"/>
      <c r="AM22" s="87" t="n"/>
    </row>
    <row r="23">
      <c r="A23" s="90" t="n">
        <v>46162</v>
      </c>
      <c r="B23" s="85">
        <f>SUM(C23:AM23)</f>
        <v/>
      </c>
      <c r="C23" s="88" t="n"/>
      <c r="D23" s="88" t="n"/>
      <c r="E23" s="88" t="n"/>
      <c r="F23" s="88" t="n"/>
      <c r="G23" s="88" t="n"/>
      <c r="H23" s="88" t="n"/>
      <c r="I23" s="88" t="n"/>
      <c r="J23" s="88" t="n">
        <v>-8392.59</v>
      </c>
      <c r="K23" s="88" t="n">
        <v>9658.200000000001</v>
      </c>
      <c r="L23" s="88" t="n"/>
      <c r="M23" s="88" t="n"/>
      <c r="N23" s="88" t="n"/>
      <c r="O23" s="88" t="n"/>
      <c r="P23" s="88" t="n"/>
      <c r="Q23" s="88" t="n"/>
      <c r="R23" s="88" t="n">
        <v>498.02</v>
      </c>
      <c r="S23" s="88" t="n"/>
      <c r="T23" s="88" t="n"/>
      <c r="U23" s="88" t="n">
        <v>1481.09</v>
      </c>
      <c r="V23" s="88" t="n"/>
      <c r="W23" s="88" t="n"/>
      <c r="X23" s="88" t="n"/>
      <c r="Y23" s="88" t="n"/>
      <c r="Z23" s="88" t="n"/>
      <c r="AA23" s="88" t="n"/>
      <c r="AB23" s="87" t="n"/>
      <c r="AC23" s="88" t="n"/>
      <c r="AD23" s="87" t="n"/>
      <c r="AE23" s="87" t="n"/>
      <c r="AF23" s="87" t="n"/>
      <c r="AG23" s="87" t="n"/>
      <c r="AH23" s="87" t="n"/>
      <c r="AI23" s="87" t="n"/>
      <c r="AJ23" s="87" t="n"/>
      <c r="AK23" s="87" t="n"/>
      <c r="AL23" s="89" t="n"/>
      <c r="AM23" s="87" t="n"/>
    </row>
    <row r="24">
      <c r="A24" s="90" t="n">
        <v>46163</v>
      </c>
      <c r="B24" s="85">
        <f>SUM(C24:AM24)</f>
        <v/>
      </c>
      <c r="C24" s="88" t="n"/>
      <c r="D24" s="88" t="n"/>
      <c r="E24" s="88" t="n"/>
      <c r="F24" s="88" t="n"/>
      <c r="G24" s="88" t="n"/>
      <c r="H24" s="88" t="n"/>
      <c r="I24" s="88" t="n"/>
      <c r="J24" s="88" t="n">
        <v>1987.49</v>
      </c>
      <c r="K24" s="88" t="n">
        <v>3817.95</v>
      </c>
      <c r="L24" s="88" t="n"/>
      <c r="M24" s="88" t="n"/>
      <c r="N24" s="88" t="n"/>
      <c r="O24" s="88" t="n"/>
      <c r="P24" s="88" t="n"/>
      <c r="Q24" s="88" t="n"/>
      <c r="R24" s="88" t="n">
        <v>333.01</v>
      </c>
      <c r="S24" s="88" t="n"/>
      <c r="T24" s="88" t="n"/>
      <c r="U24" s="88" t="n">
        <v>1195.78</v>
      </c>
      <c r="V24" s="88" t="n"/>
      <c r="W24" s="88" t="n"/>
      <c r="X24" s="88" t="n"/>
      <c r="Y24" s="88" t="n"/>
      <c r="Z24" s="88" t="n"/>
      <c r="AA24" s="88" t="n"/>
      <c r="AB24" s="87" t="n"/>
      <c r="AC24" s="88" t="n"/>
      <c r="AD24" s="87" t="n"/>
      <c r="AE24" s="87" t="n"/>
      <c r="AF24" s="87" t="n"/>
      <c r="AG24" s="87" t="n"/>
      <c r="AH24" s="87" t="n"/>
      <c r="AI24" s="87" t="n"/>
      <c r="AJ24" s="87" t="n"/>
      <c r="AK24" s="87" t="n"/>
      <c r="AL24" s="89" t="n"/>
      <c r="AM24" s="87" t="n"/>
    </row>
    <row r="25">
      <c r="A25" s="90" t="n">
        <v>46164</v>
      </c>
      <c r="B25" s="85">
        <f>SUM(C25:AM25)</f>
        <v/>
      </c>
      <c r="C25" s="88" t="n"/>
      <c r="D25" s="88" t="n"/>
      <c r="E25" s="88" t="n"/>
      <c r="F25" s="88" t="n"/>
      <c r="G25" s="88" t="n"/>
      <c r="H25" s="88" t="n"/>
      <c r="I25" s="88" t="n"/>
      <c r="J25" s="88" t="n">
        <v>898.6900000000001</v>
      </c>
      <c r="K25" s="88" t="n">
        <v>12090.6</v>
      </c>
      <c r="L25" s="88" t="n"/>
      <c r="M25" s="88" t="n"/>
      <c r="N25" s="88" t="n"/>
      <c r="O25" s="88" t="n"/>
      <c r="P25" s="88" t="n"/>
      <c r="Q25" s="88" t="n"/>
      <c r="R25" s="88" t="n">
        <v>-5487.46</v>
      </c>
      <c r="S25" s="88" t="n"/>
      <c r="T25" s="88" t="n"/>
      <c r="U25" s="88" t="n">
        <v>1567.57</v>
      </c>
      <c r="V25" s="88" t="n"/>
      <c r="W25" s="88" t="n"/>
      <c r="X25" s="88" t="n"/>
      <c r="Y25" s="88" t="n"/>
      <c r="Z25" s="88" t="n"/>
      <c r="AA25" s="88" t="n"/>
      <c r="AB25" s="87" t="n"/>
      <c r="AC25" s="88" t="n"/>
      <c r="AD25" s="87" t="n"/>
      <c r="AE25" s="87" t="n"/>
      <c r="AF25" s="87" t="n"/>
      <c r="AG25" s="87" t="n"/>
      <c r="AH25" s="87" t="n">
        <v>-0.3</v>
      </c>
      <c r="AI25" s="87" t="n"/>
      <c r="AJ25" s="87" t="n"/>
      <c r="AK25" s="87" t="n"/>
      <c r="AL25" s="89" t="n"/>
      <c r="AM25" s="87" t="n"/>
    </row>
    <row r="26">
      <c r="A26" s="90" t="n">
        <v>46165</v>
      </c>
      <c r="B26" s="85">
        <f>SUM(C26:AM26)</f>
        <v/>
      </c>
      <c r="C26" s="88" t="n"/>
      <c r="D26" s="88" t="n"/>
      <c r="E26" s="88" t="n"/>
      <c r="F26" s="88" t="n"/>
      <c r="G26" s="88" t="n"/>
      <c r="H26" s="88" t="n"/>
      <c r="I26" s="88" t="n"/>
      <c r="J26" s="88" t="n">
        <v>1251.2</v>
      </c>
      <c r="K26" s="88" t="n">
        <v>12493.25</v>
      </c>
      <c r="L26" s="88" t="n"/>
      <c r="M26" s="88" t="n"/>
      <c r="N26" s="88" t="n"/>
      <c r="O26" s="88" t="n"/>
      <c r="P26" s="88" t="n"/>
      <c r="Q26" s="88" t="n"/>
      <c r="R26" s="88" t="n">
        <v>4381.67</v>
      </c>
      <c r="S26" s="88" t="n"/>
      <c r="T26" s="88" t="n"/>
      <c r="U26" s="88" t="n">
        <v>4891.57</v>
      </c>
      <c r="V26" s="88" t="n"/>
      <c r="W26" s="88" t="n"/>
      <c r="X26" s="88" t="n"/>
      <c r="Y26" s="88" t="n"/>
      <c r="Z26" s="88" t="n"/>
      <c r="AA26" s="88" t="n"/>
      <c r="AB26" s="87" t="n"/>
      <c r="AC26" s="88" t="n"/>
      <c r="AD26" s="87" t="n"/>
      <c r="AE26" s="87" t="n"/>
      <c r="AF26" s="87" t="n"/>
      <c r="AG26" s="87" t="n"/>
      <c r="AH26" s="87" t="n"/>
      <c r="AI26" s="87" t="n"/>
      <c r="AJ26" s="87" t="n"/>
      <c r="AK26" s="87" t="n"/>
      <c r="AL26" s="89" t="n"/>
      <c r="AM26" s="87" t="n"/>
    </row>
    <row r="27">
      <c r="A27" s="90" t="n">
        <v>46166</v>
      </c>
      <c r="B27" s="85">
        <f>SUM(C27:AM27)</f>
        <v/>
      </c>
      <c r="C27" s="88" t="n"/>
      <c r="D27" s="88" t="n"/>
      <c r="E27" s="88" t="n"/>
      <c r="F27" s="88" t="n"/>
      <c r="G27" s="88" t="n"/>
      <c r="H27" s="88" t="n"/>
      <c r="I27" s="88" t="n"/>
      <c r="J27" s="88" t="n">
        <v>869.47</v>
      </c>
      <c r="K27" s="88" t="n">
        <v>6689.65</v>
      </c>
      <c r="L27" s="88" t="n"/>
      <c r="M27" s="88" t="n"/>
      <c r="N27" s="88" t="n"/>
      <c r="O27" s="88" t="n"/>
      <c r="P27" s="88" t="n"/>
      <c r="Q27" s="88" t="n"/>
      <c r="R27" s="88" t="n">
        <v>330.44</v>
      </c>
      <c r="S27" s="88" t="n"/>
      <c r="T27" s="88" t="n"/>
      <c r="U27" s="88" t="n">
        <v>1205.73</v>
      </c>
      <c r="V27" s="88" t="n"/>
      <c r="W27" s="88" t="n"/>
      <c r="X27" s="88" t="n"/>
      <c r="Y27" s="88" t="n"/>
      <c r="Z27" s="88" t="n"/>
      <c r="AA27" s="88" t="n"/>
      <c r="AB27" s="87" t="n"/>
      <c r="AC27" s="88" t="n"/>
      <c r="AD27" s="87" t="n"/>
      <c r="AE27" s="87" t="n"/>
      <c r="AF27" s="87" t="n"/>
      <c r="AG27" s="87" t="n"/>
      <c r="AH27" s="87" t="n"/>
      <c r="AI27" s="87" t="n"/>
      <c r="AJ27" s="87" t="n"/>
      <c r="AK27" s="87" t="n"/>
      <c r="AL27" s="89" t="n"/>
      <c r="AM27" s="87" t="n"/>
    </row>
    <row r="28">
      <c r="A28" s="90" t="n">
        <v>46167</v>
      </c>
      <c r="B28" s="85">
        <f>SUM(C28:AM28)</f>
        <v/>
      </c>
      <c r="C28" s="88" t="n"/>
      <c r="D28" s="88" t="n"/>
      <c r="E28" s="88" t="n"/>
      <c r="F28" s="88" t="n"/>
      <c r="G28" s="88" t="n"/>
      <c r="H28" s="88" t="n"/>
      <c r="I28" s="88" t="n"/>
      <c r="J28" s="88" t="n">
        <v>4288.82</v>
      </c>
      <c r="K28" s="88" t="n">
        <v>-150960.21</v>
      </c>
      <c r="L28" s="88" t="n"/>
      <c r="M28" s="88" t="n"/>
      <c r="N28" s="88" t="n"/>
      <c r="O28" s="88" t="n"/>
      <c r="P28" s="88" t="n"/>
      <c r="Q28" s="88" t="n"/>
      <c r="R28" s="88" t="n">
        <v>515.34</v>
      </c>
      <c r="S28" s="88" t="n"/>
      <c r="T28" s="88" t="n"/>
      <c r="U28" s="88" t="n">
        <v>-56377.81</v>
      </c>
      <c r="V28" s="88" t="n"/>
      <c r="W28" s="88" t="n"/>
      <c r="X28" s="88" t="n"/>
      <c r="Y28" s="88" t="n"/>
      <c r="Z28" s="88" t="n"/>
      <c r="AA28" s="88" t="n"/>
      <c r="AB28" s="87" t="n"/>
      <c r="AC28" s="88" t="n"/>
      <c r="AD28" s="87" t="n"/>
      <c r="AE28" s="87" t="n"/>
      <c r="AF28" s="87" t="n"/>
      <c r="AG28" s="87" t="n"/>
      <c r="AH28" s="87" t="n"/>
      <c r="AI28" s="87" t="n"/>
      <c r="AJ28" s="87" t="n"/>
      <c r="AK28" s="87" t="n"/>
      <c r="AL28" s="89" t="n"/>
      <c r="AM28" s="87" t="n"/>
    </row>
    <row r="29">
      <c r="A29" s="90" t="n">
        <v>46168</v>
      </c>
      <c r="B29" s="85">
        <f>SUM(C29:AM29)</f>
        <v/>
      </c>
      <c r="C29" s="88" t="n"/>
      <c r="D29" s="88" t="n"/>
      <c r="E29" s="88" t="n"/>
      <c r="F29" s="88" t="n"/>
      <c r="G29" s="88" t="n"/>
      <c r="H29" s="88" t="n"/>
      <c r="I29" s="88" t="n"/>
      <c r="J29" s="88" t="n">
        <v>748.12</v>
      </c>
      <c r="K29" s="88" t="n">
        <v>2603.1</v>
      </c>
      <c r="L29" s="88" t="n"/>
      <c r="M29" s="88" t="n"/>
      <c r="N29" s="88" t="n"/>
      <c r="O29" s="88" t="n"/>
      <c r="P29" s="88" t="n"/>
      <c r="Q29" s="88" t="n"/>
      <c r="R29" s="88" t="n">
        <v>510.6899999999999</v>
      </c>
      <c r="S29" s="88" t="n"/>
      <c r="T29" s="88" t="n"/>
      <c r="U29" s="88" t="n">
        <v>1020.87</v>
      </c>
      <c r="V29" s="88" t="n"/>
      <c r="W29" s="88" t="n"/>
      <c r="X29" s="88" t="n"/>
      <c r="Y29" s="88" t="n"/>
      <c r="Z29" s="88" t="n"/>
      <c r="AA29" s="88" t="n"/>
      <c r="AB29" s="87" t="n"/>
      <c r="AC29" s="87" t="n"/>
      <c r="AD29" s="87" t="n"/>
      <c r="AE29" s="87" t="n"/>
      <c r="AF29" s="87" t="n"/>
      <c r="AG29" s="87" t="n"/>
      <c r="AH29" s="87" t="n"/>
      <c r="AI29" s="87" t="n"/>
      <c r="AJ29" s="87" t="n"/>
      <c r="AK29" s="87" t="n"/>
      <c r="AL29" s="87" t="n"/>
      <c r="AM29" s="87" t="n"/>
    </row>
    <row r="30">
      <c r="A30" s="90" t="n">
        <v>46169</v>
      </c>
      <c r="B30" s="88" t="n"/>
      <c r="C30" s="88" t="n"/>
      <c r="D30" s="88" t="n"/>
      <c r="E30" s="88" t="n"/>
      <c r="F30" s="88" t="n"/>
      <c r="G30" s="88" t="n"/>
      <c r="H30" s="88" t="n"/>
      <c r="I30" s="88" t="n"/>
      <c r="J30" s="88" t="n">
        <v>3149.46</v>
      </c>
      <c r="K30" s="88" t="n">
        <v>3061.2</v>
      </c>
      <c r="L30" s="88" t="n"/>
      <c r="M30" s="88" t="n"/>
      <c r="N30" s="88" t="n"/>
      <c r="O30" s="88" t="n"/>
      <c r="P30" s="88" t="n"/>
      <c r="Q30" s="88" t="n"/>
      <c r="R30" s="88" t="n">
        <v>509.91</v>
      </c>
      <c r="S30" s="88" t="n"/>
      <c r="T30" s="88" t="n"/>
      <c r="U30" s="88" t="n">
        <v>793.88</v>
      </c>
      <c r="V30" s="88" t="n"/>
      <c r="W30" s="88" t="n"/>
      <c r="X30" s="88" t="n"/>
      <c r="Y30" s="88" t="n"/>
      <c r="Z30" s="88" t="n"/>
      <c r="AA30" s="88" t="n"/>
      <c r="AB30" s="87" t="n"/>
      <c r="AC30" s="87" t="n"/>
      <c r="AD30" s="87" t="n"/>
      <c r="AE30" s="87" t="n"/>
      <c r="AF30" s="87" t="n"/>
      <c r="AG30" s="87" t="n"/>
      <c r="AH30" s="87" t="n"/>
      <c r="AI30" s="87" t="n"/>
      <c r="AJ30" s="87" t="n"/>
      <c r="AK30" s="87" t="n"/>
      <c r="AL30" s="87" t="n"/>
      <c r="AM30" s="87" t="n"/>
    </row>
    <row r="31">
      <c r="A31" s="90" t="n">
        <v>46170</v>
      </c>
      <c r="B31" s="88" t="n"/>
      <c r="C31" s="88" t="n"/>
      <c r="D31" s="88" t="n"/>
      <c r="E31" s="88" t="n"/>
      <c r="F31" s="88" t="n"/>
      <c r="G31" s="88" t="n"/>
      <c r="H31" s="88" t="n"/>
      <c r="I31" s="88" t="n"/>
      <c r="J31" s="88" t="n">
        <v>5407.690000000001</v>
      </c>
      <c r="K31" s="88" t="n">
        <v>-7276.099999999999</v>
      </c>
      <c r="L31" s="88" t="n"/>
      <c r="M31" s="88" t="n"/>
      <c r="N31" s="88" t="n"/>
      <c r="O31" s="88" t="n"/>
      <c r="P31" s="88" t="n"/>
      <c r="Q31" s="88" t="n"/>
      <c r="R31" s="88" t="n">
        <v>1890.5</v>
      </c>
      <c r="S31" s="88" t="n"/>
      <c r="T31" s="88" t="n"/>
      <c r="U31" s="88" t="n">
        <v>1517.9</v>
      </c>
      <c r="V31" s="88" t="n"/>
      <c r="W31" s="88" t="n"/>
      <c r="X31" s="88" t="n"/>
      <c r="Y31" s="88" t="n"/>
      <c r="Z31" s="88" t="n"/>
      <c r="AA31" s="88" t="n"/>
      <c r="AB31" s="87" t="n"/>
      <c r="AC31" s="87" t="n"/>
      <c r="AD31" s="87" t="n"/>
      <c r="AE31" s="87" t="n"/>
      <c r="AF31" s="87" t="n"/>
      <c r="AG31" s="87" t="n"/>
      <c r="AH31" s="87" t="n"/>
      <c r="AI31" s="87" t="n"/>
      <c r="AJ31" s="87" t="n"/>
      <c r="AK31" s="87" t="n"/>
      <c r="AL31" s="87" t="n"/>
      <c r="AM31" s="87" t="n"/>
    </row>
    <row r="32">
      <c r="A32" s="90" t="n">
        <v>46171</v>
      </c>
      <c r="B32" s="88" t="n"/>
      <c r="C32" s="88" t="n"/>
      <c r="D32" s="88" t="n"/>
      <c r="E32" s="88" t="n"/>
      <c r="F32" s="88" t="n"/>
      <c r="G32" s="88" t="n"/>
      <c r="H32" s="88" t="n"/>
      <c r="I32" s="88" t="n"/>
      <c r="J32" s="88" t="n">
        <v>1008.28</v>
      </c>
      <c r="K32" s="88" t="n">
        <v>2226.5</v>
      </c>
      <c r="L32" s="88" t="n"/>
      <c r="M32" s="88" t="n"/>
      <c r="N32" s="88" t="n"/>
      <c r="O32" s="88" t="n"/>
      <c r="P32" s="88" t="n"/>
      <c r="Q32" s="88" t="n"/>
      <c r="R32" s="88" t="n">
        <v>680.4399999999999</v>
      </c>
      <c r="S32" s="88" t="n"/>
      <c r="T32" s="88" t="n"/>
      <c r="U32" s="88" t="n">
        <v>866.88</v>
      </c>
      <c r="V32" s="88" t="n"/>
      <c r="W32" s="88" t="n"/>
      <c r="X32" s="88" t="n"/>
      <c r="Y32" s="88" t="n"/>
      <c r="Z32" s="88" t="n"/>
      <c r="AA32" s="88" t="n"/>
      <c r="AB32" s="87" t="n"/>
      <c r="AC32" s="87" t="n"/>
      <c r="AD32" s="87" t="n"/>
      <c r="AE32" s="87" t="n"/>
      <c r="AF32" s="87" t="n"/>
      <c r="AG32" s="87" t="n"/>
      <c r="AH32" s="87" t="n">
        <v>-0.3</v>
      </c>
      <c r="AI32" s="87" t="n"/>
      <c r="AJ32" s="87" t="n"/>
      <c r="AK32" s="87" t="n"/>
      <c r="AL32" s="87" t="n"/>
      <c r="AM32" s="87" t="n"/>
    </row>
    <row r="33">
      <c r="A33" s="90" t="n">
        <v>46172</v>
      </c>
      <c r="B33" s="88" t="n"/>
      <c r="C33" s="88" t="n"/>
      <c r="D33" s="88" t="n"/>
      <c r="E33" s="88" t="n"/>
      <c r="F33" s="88" t="n"/>
      <c r="G33" s="88" t="n"/>
      <c r="H33" s="88" t="n"/>
      <c r="I33" s="88" t="n"/>
      <c r="J33" s="88" t="n">
        <v>1010.91</v>
      </c>
      <c r="K33" s="88" t="n">
        <v>2919.95</v>
      </c>
      <c r="L33" s="88" t="n"/>
      <c r="M33" s="88" t="n"/>
      <c r="N33" s="88" t="n"/>
      <c r="O33" s="88" t="n"/>
      <c r="P33" s="88" t="n"/>
      <c r="Q33" s="88" t="n"/>
      <c r="R33" s="88" t="n">
        <v>835.92</v>
      </c>
      <c r="S33" s="88" t="n"/>
      <c r="T33" s="88" t="n"/>
      <c r="U33" s="88" t="n">
        <v>942.48</v>
      </c>
      <c r="V33" s="88" t="n"/>
      <c r="W33" s="88" t="n"/>
      <c r="X33" s="88" t="n"/>
      <c r="Y33" s="88" t="n"/>
      <c r="Z33" s="88" t="n"/>
      <c r="AA33" s="88" t="n"/>
      <c r="AB33" s="87" t="n"/>
      <c r="AC33" s="87" t="n"/>
      <c r="AD33" s="87" t="n"/>
      <c r="AE33" s="87" t="n"/>
      <c r="AF33" s="87" t="n"/>
      <c r="AG33" s="87" t="n"/>
      <c r="AH33" s="87" t="n">
        <v>47.4</v>
      </c>
      <c r="AI33" s="87" t="n"/>
      <c r="AJ33" s="87" t="n"/>
      <c r="AK33" s="87" t="n"/>
      <c r="AL33" s="87" t="n"/>
      <c r="AM33" s="87" t="n"/>
    </row>
    <row r="34">
      <c r="A34" s="90" t="n">
        <v>46173</v>
      </c>
      <c r="B34" s="88" t="n"/>
      <c r="C34" s="88" t="n"/>
      <c r="D34" s="88" t="n"/>
      <c r="E34" s="88" t="n"/>
      <c r="F34" s="88" t="n"/>
      <c r="G34" s="88" t="n"/>
      <c r="H34" s="88" t="n"/>
      <c r="I34" s="88" t="n"/>
      <c r="J34" s="88" t="n">
        <v>981.6799999999999</v>
      </c>
      <c r="K34" s="88" t="n">
        <v>3082.75</v>
      </c>
      <c r="L34" s="88" t="n"/>
      <c r="M34" s="88" t="n"/>
      <c r="N34" s="88" t="n"/>
      <c r="O34" s="88" t="n"/>
      <c r="P34" s="88" t="n"/>
      <c r="Q34" s="88" t="n"/>
      <c r="R34" s="88" t="n">
        <v>848.14</v>
      </c>
      <c r="S34" s="88" t="n"/>
      <c r="T34" s="88" t="n"/>
      <c r="U34" s="88" t="n">
        <v>1116.5</v>
      </c>
      <c r="V34" s="88" t="n"/>
      <c r="W34" s="88" t="n"/>
      <c r="X34" s="88" t="n"/>
      <c r="Y34" s="88" t="n"/>
      <c r="Z34" s="88" t="n"/>
      <c r="AA34" s="88" t="n"/>
      <c r="AB34" s="87" t="n"/>
      <c r="AC34" s="87" t="n"/>
      <c r="AD34" s="87" t="n"/>
      <c r="AE34" s="87" t="n"/>
      <c r="AF34" s="87" t="n"/>
      <c r="AG34" s="87" t="n"/>
      <c r="AH34" s="87" t="n"/>
      <c r="AI34" s="87" t="n"/>
      <c r="AJ34" s="87" t="n"/>
      <c r="AK34" s="87" t="n"/>
      <c r="AL34" s="87" t="n"/>
      <c r="AM34" s="87" t="n"/>
    </row>
    <row r="35" ht="13" customFormat="1" customHeight="1" s="23">
      <c r="A35" s="91" t="inlineStr">
        <is>
          <t>本月收入净值</t>
        </is>
      </c>
      <c r="B35" s="92">
        <f>SUM(B4:B34)</f>
        <v/>
      </c>
      <c r="C35" s="92">
        <f>SUM(C4:C34)</f>
        <v/>
      </c>
      <c r="D35" s="92">
        <f>SUM(D4:D34)</f>
        <v/>
      </c>
      <c r="E35" s="92">
        <f>SUM(E4:E34)</f>
        <v/>
      </c>
      <c r="F35" s="92">
        <f>SUM(F4:F34)</f>
        <v/>
      </c>
      <c r="G35" s="92">
        <f>SUM(G4:G34)</f>
        <v/>
      </c>
      <c r="H35" s="92">
        <f>SUM(H4:H34)</f>
        <v/>
      </c>
      <c r="I35" s="92">
        <f>SUM(I4:I34)</f>
        <v/>
      </c>
      <c r="J35" s="92">
        <f>SUM(J4:J34)</f>
        <v/>
      </c>
      <c r="K35" s="92">
        <f>SUM(K4:K34)</f>
        <v/>
      </c>
      <c r="L35" s="92">
        <f>SUM(L4:L34)</f>
        <v/>
      </c>
      <c r="M35" s="92">
        <f>SUM(M4:M34)</f>
        <v/>
      </c>
      <c r="N35" s="92">
        <f>SUM(N4:N34)</f>
        <v/>
      </c>
      <c r="O35" s="92">
        <f>SUM(O4:O34)</f>
        <v/>
      </c>
      <c r="P35" s="92">
        <f>SUM(P4:P34)</f>
        <v/>
      </c>
      <c r="Q35" s="92">
        <f>SUM(Q4:Q34)</f>
        <v/>
      </c>
      <c r="R35" s="92">
        <f>SUM(R4:R34)</f>
        <v/>
      </c>
      <c r="S35" s="92">
        <f>SUM(S4:S34)</f>
        <v/>
      </c>
      <c r="T35" s="92">
        <f>SUM(T4:T34)</f>
        <v/>
      </c>
      <c r="U35" s="92">
        <f>SUM(U4:U34)</f>
        <v/>
      </c>
      <c r="V35" s="92">
        <f>SUM(V4:V34)</f>
        <v/>
      </c>
      <c r="W35" s="92">
        <f>SUM(W4:W34)</f>
        <v/>
      </c>
      <c r="X35" s="92">
        <f>SUM(X4:X34)</f>
        <v/>
      </c>
      <c r="Y35" s="92">
        <f>SUM(Y4:Y34)</f>
        <v/>
      </c>
      <c r="Z35" s="92">
        <f>SUM(Z4:Z34)</f>
        <v/>
      </c>
      <c r="AA35" s="92">
        <f>SUM(AA4:AA34)</f>
        <v/>
      </c>
      <c r="AB35" s="92">
        <f>SUM(AB4:AB34)</f>
        <v/>
      </c>
      <c r="AC35" s="92">
        <f>SUM(AC4:AC34)</f>
        <v/>
      </c>
      <c r="AD35" s="92">
        <f>SUM(AD4:AD34)</f>
        <v/>
      </c>
      <c r="AE35" s="92">
        <f>SUM(AE4:AE34)</f>
        <v/>
      </c>
      <c r="AF35" s="92">
        <f>SUM(AF4:AF34)</f>
        <v/>
      </c>
      <c r="AG35" s="92">
        <f>SUM(AG4:AG34)</f>
        <v/>
      </c>
      <c r="AH35" s="92">
        <f>SUM(AH4:AH34)</f>
        <v/>
      </c>
      <c r="AI35" s="92">
        <f>SUM(AI4:AI34)</f>
        <v/>
      </c>
      <c r="AJ35" s="92">
        <f>SUM(AJ4:AJ34)</f>
        <v/>
      </c>
      <c r="AK35" s="92">
        <f>SUM(AK4:AK34)</f>
        <v/>
      </c>
      <c r="AL35" s="92">
        <f>SUM(AL4:AL34)</f>
        <v/>
      </c>
      <c r="AM35" s="92">
        <f>SUM(AM4:AM34)</f>
        <v/>
      </c>
    </row>
    <row r="36" ht="19" customFormat="1" customHeight="1" s="24">
      <c r="A36" s="93" t="inlineStr">
        <is>
          <t>本月提现金额</t>
        </is>
      </c>
      <c r="B36" s="94">
        <f>SUM(C36:AM36)</f>
        <v/>
      </c>
      <c r="C36" s="94">
        <f>113883.14+50653.76</f>
        <v/>
      </c>
      <c r="D36" s="94" t="n">
        <v>180836.92</v>
      </c>
      <c r="E36" s="94" t="n">
        <v>13220.93</v>
      </c>
      <c r="F36" s="94" t="n"/>
      <c r="G36" s="94">
        <f>提现记录!F34</f>
        <v/>
      </c>
      <c r="H36" s="94">
        <f>50082.04+13306.3</f>
        <v/>
      </c>
      <c r="I36" s="94">
        <f>提现记录!H34</f>
        <v/>
      </c>
      <c r="J36" s="94" t="n">
        <v>9869.950000000001</v>
      </c>
      <c r="K36" s="94">
        <f>156768.36</f>
        <v/>
      </c>
      <c r="L36" s="94" t="n">
        <v>41409.26</v>
      </c>
      <c r="M36" s="94">
        <f>41000+12000+9550.29+811.07</f>
        <v/>
      </c>
      <c r="N36" s="94" t="n"/>
      <c r="O36" s="94" t="n">
        <v>24505.46</v>
      </c>
      <c r="P36" s="94" t="n">
        <v>1537.8</v>
      </c>
      <c r="Q36" s="94" t="n">
        <v>276803.91</v>
      </c>
      <c r="R36" s="94" t="n">
        <v>5904.96</v>
      </c>
      <c r="S36" s="94" t="n">
        <v>5479.74</v>
      </c>
      <c r="T36" s="94">
        <f>31706.94+3511.78</f>
        <v/>
      </c>
      <c r="U36" s="94">
        <f>348.11+57188.72</f>
        <v/>
      </c>
      <c r="V36" s="94" t="n">
        <v>3065.59</v>
      </c>
      <c r="W36" s="94" t="n">
        <v>40000</v>
      </c>
      <c r="X36" s="94" t="n">
        <v>0</v>
      </c>
      <c r="Y36" s="94" t="n">
        <v>12368.17</v>
      </c>
      <c r="Z36" s="94" t="n"/>
      <c r="AA36" s="94" t="n"/>
      <c r="AB36" s="94" t="n">
        <v>0</v>
      </c>
      <c r="AC36" s="94" t="n"/>
      <c r="AD36" s="94" t="n"/>
      <c r="AE36" s="94" t="n"/>
      <c r="AF36" s="94" t="n"/>
      <c r="AG36" s="94" t="n"/>
      <c r="AH36" s="94" t="n"/>
      <c r="AI36" s="94" t="n"/>
      <c r="AJ36" s="94" t="n"/>
      <c r="AK36" s="94" t="n"/>
      <c r="AL36" s="94" t="n"/>
      <c r="AM36" s="94" t="n"/>
    </row>
    <row r="37" customFormat="1" s="25">
      <c r="A37" s="95" t="inlineStr">
        <is>
          <t>本月资金冻结</t>
        </is>
      </c>
      <c r="B37" s="96" t="n"/>
      <c r="C37" s="96" t="n">
        <v>0</v>
      </c>
      <c r="D37" s="96" t="n"/>
      <c r="E37" s="96" t="n"/>
      <c r="F37" s="96" t="n"/>
      <c r="G37" s="96" t="n"/>
      <c r="H37" s="96" t="n">
        <v>0</v>
      </c>
      <c r="I37" s="96" t="n">
        <v>75662.91</v>
      </c>
      <c r="J37" s="96" t="n"/>
      <c r="K37" s="96" t="n"/>
      <c r="L37" s="96" t="n">
        <v>174975.26</v>
      </c>
      <c r="M37" s="96" t="n"/>
      <c r="N37" s="96" t="n"/>
      <c r="O37" s="96" t="n"/>
      <c r="P37" s="96" t="n"/>
      <c r="Q37" s="96" t="n"/>
      <c r="R37" s="96" t="n"/>
      <c r="S37" s="96" t="n"/>
      <c r="T37" s="96" t="n"/>
      <c r="U37" s="96" t="n"/>
      <c r="V37" s="96" t="n"/>
      <c r="W37" s="96" t="n"/>
      <c r="X37" s="96" t="n"/>
      <c r="Y37" s="96" t="n"/>
      <c r="Z37" s="96" t="n"/>
      <c r="AA37" s="96" t="n">
        <v>43.7</v>
      </c>
      <c r="AB37" s="96" t="n">
        <v>0</v>
      </c>
      <c r="AC37" s="96" t="n"/>
      <c r="AD37" s="96" t="n"/>
      <c r="AE37" s="96" t="n"/>
      <c r="AF37" s="96" t="n">
        <v>10350.64</v>
      </c>
      <c r="AG37" s="96" t="n"/>
      <c r="AH37" s="96" t="n"/>
      <c r="AI37" s="96" t="n"/>
      <c r="AJ37" s="96" t="n"/>
      <c r="AK37" s="96" t="n">
        <v>7.58</v>
      </c>
      <c r="AL37" s="96" t="n"/>
      <c r="AM37" s="96" t="n"/>
    </row>
    <row r="38" customFormat="1" s="25">
      <c r="A38" s="95" t="inlineStr">
        <is>
          <t>本月提现次数</t>
        </is>
      </c>
      <c r="B38" s="97">
        <f>SUM(E38:AM38)</f>
        <v/>
      </c>
      <c r="C38" s="98" t="n">
        <v>4</v>
      </c>
      <c r="D38" s="98" t="n">
        <v>7</v>
      </c>
      <c r="E38" s="98" t="n"/>
      <c r="F38" s="98" t="n"/>
      <c r="G38" s="98" t="n">
        <v>5</v>
      </c>
      <c r="H38" s="98" t="n"/>
      <c r="I38" s="98" t="n">
        <v>0</v>
      </c>
      <c r="J38" s="98" t="n"/>
      <c r="K38" s="98" t="n">
        <v>1</v>
      </c>
      <c r="L38" s="98" t="n"/>
      <c r="M38" s="98" t="n">
        <v>1</v>
      </c>
      <c r="N38" s="98" t="n"/>
      <c r="O38" s="98" t="n"/>
      <c r="P38" s="98" t="n">
        <v>0</v>
      </c>
      <c r="Q38" s="98" t="n">
        <v>1</v>
      </c>
      <c r="R38" s="98" t="n"/>
      <c r="S38" s="98" t="n"/>
      <c r="T38" s="98" t="n"/>
      <c r="U38" s="98" t="n">
        <v>1</v>
      </c>
      <c r="V38" s="98" t="n"/>
      <c r="W38" s="98" t="n">
        <v>1</v>
      </c>
      <c r="X38" s="98" t="n">
        <v>0</v>
      </c>
      <c r="Y38" s="98" t="n">
        <v>1</v>
      </c>
      <c r="Z38" s="98" t="n"/>
      <c r="AA38" s="98" t="n"/>
      <c r="AB38" s="98" t="n">
        <v>0</v>
      </c>
      <c r="AC38" s="98" t="n"/>
      <c r="AD38" s="98" t="n"/>
      <c r="AE38" s="98" t="n"/>
      <c r="AF38" s="98" t="n"/>
      <c r="AG38" s="98" t="n"/>
      <c r="AH38" s="98" t="n"/>
      <c r="AI38" s="98" t="n"/>
      <c r="AJ38" s="98" t="n"/>
      <c r="AK38" s="98" t="n"/>
      <c r="AL38" s="98" t="n"/>
      <c r="AM38" s="98" t="n"/>
    </row>
    <row r="39" ht="27" customHeight="1" s="82">
      <c r="A39" s="90" t="inlineStr">
        <is>
          <t>持卡人</t>
        </is>
      </c>
      <c r="B39" s="88" t="n"/>
      <c r="C39" s="88" t="inlineStr">
        <is>
          <t>周振豪</t>
        </is>
      </c>
      <c r="D39" s="88" t="inlineStr">
        <is>
          <t>周振豪</t>
        </is>
      </c>
      <c r="E39" s="88" t="inlineStr">
        <is>
          <t>电子商务-企业</t>
        </is>
      </c>
      <c r="F39" s="88" t="n"/>
      <c r="G39" s="88" t="inlineStr">
        <is>
          <t>电子商务-企业</t>
        </is>
      </c>
      <c r="H39" s="88" t="inlineStr">
        <is>
          <t>电子商务-企业</t>
        </is>
      </c>
      <c r="I39" s="88" t="inlineStr">
        <is>
          <t>喵鸣潮玩-企业</t>
        </is>
      </c>
      <c r="J39" s="88" t="inlineStr">
        <is>
          <t>杨玉英</t>
        </is>
      </c>
      <c r="K39" s="88" t="inlineStr">
        <is>
          <t>杨玉英</t>
        </is>
      </c>
      <c r="L39" s="88" t="inlineStr">
        <is>
          <t>绒绒岛潮玩</t>
        </is>
      </c>
      <c r="M39" s="88" t="inlineStr">
        <is>
          <t>杨玉英</t>
        </is>
      </c>
      <c r="N39" s="88" t="inlineStr">
        <is>
          <t>杨玉英</t>
        </is>
      </c>
      <c r="O39" s="88" t="inlineStr">
        <is>
          <t>电子商务-企业</t>
        </is>
      </c>
      <c r="P39" s="88" t="inlineStr">
        <is>
          <t>周振豪</t>
        </is>
      </c>
      <c r="Q39" s="88" t="inlineStr">
        <is>
          <t>周振豪</t>
        </is>
      </c>
      <c r="R39" s="88" t="inlineStr">
        <is>
          <t>三棉潮玩</t>
        </is>
      </c>
      <c r="S39" s="88" t="inlineStr">
        <is>
          <t>三棉潮玩</t>
        </is>
      </c>
      <c r="T39" s="88" t="inlineStr">
        <is>
          <t>周振豪</t>
        </is>
      </c>
      <c r="U39" s="88" t="inlineStr">
        <is>
          <t>杨丽燕</t>
        </is>
      </c>
      <c r="V39" s="88" t="inlineStr">
        <is>
          <t>周振豪</t>
        </is>
      </c>
      <c r="W39" s="88" t="inlineStr">
        <is>
          <t>郭海莹</t>
        </is>
      </c>
      <c r="X39" s="88" t="inlineStr">
        <is>
          <t>奶油兔</t>
        </is>
      </c>
      <c r="Y39" s="88" t="inlineStr">
        <is>
          <t>奶油兔</t>
        </is>
      </c>
      <c r="Z39" s="88" t="inlineStr">
        <is>
          <t>王琳</t>
        </is>
      </c>
      <c r="AA39" s="88" t="inlineStr">
        <is>
          <t>王琳</t>
        </is>
      </c>
      <c r="AB39" s="88" t="inlineStr">
        <is>
          <t>萌造社</t>
        </is>
      </c>
      <c r="AC39" s="88" t="inlineStr">
        <is>
          <t>萌造社</t>
        </is>
      </c>
      <c r="AD39" s="88" t="inlineStr">
        <is>
          <t>萌造社</t>
        </is>
      </c>
      <c r="AE39" s="88" t="inlineStr">
        <is>
          <t>萌造社</t>
        </is>
      </c>
      <c r="AF39" s="88" t="inlineStr">
        <is>
          <t>王琴</t>
        </is>
      </c>
      <c r="AG39" s="88" t="inlineStr">
        <is>
          <t>杨玉英</t>
        </is>
      </c>
      <c r="AH39" s="88" t="inlineStr">
        <is>
          <t>电子商务-企业</t>
        </is>
      </c>
      <c r="AI39" s="88" t="inlineStr">
        <is>
          <t>周振民</t>
        </is>
      </c>
      <c r="AJ39" s="88" t="inlineStr">
        <is>
          <t>周振豪</t>
        </is>
      </c>
      <c r="AK39" s="88" t="inlineStr">
        <is>
          <t>电子商务-企业</t>
        </is>
      </c>
      <c r="AL39" s="88" t="n"/>
      <c r="AM39" s="88" t="inlineStr">
        <is>
          <t>王琳</t>
        </is>
      </c>
    </row>
    <row r="40" ht="27" customHeight="1" s="82">
      <c r="A40" s="90" t="inlineStr">
        <is>
          <t>银行卡</t>
        </is>
      </c>
      <c r="B40" s="88" t="n"/>
      <c r="C40" s="88" t="inlineStr">
        <is>
          <t>工商银行(8818)</t>
        </is>
      </c>
      <c r="D40" s="88" t="inlineStr">
        <is>
          <t>工商银行(8818)</t>
        </is>
      </c>
      <c r="E40" s="88" t="inlineStr">
        <is>
          <t>基本户</t>
        </is>
      </c>
      <c r="F40" s="88" t="n"/>
      <c r="G40" s="88" t="inlineStr">
        <is>
          <t>基本户</t>
        </is>
      </c>
      <c r="H40" s="88" t="inlineStr">
        <is>
          <t>基本户</t>
        </is>
      </c>
      <c r="I40" s="88" t="inlineStr">
        <is>
          <t>基本户</t>
        </is>
      </c>
      <c r="J40" s="85" t="inlineStr">
        <is>
          <t>邮政储蓄银行(0437）</t>
        </is>
      </c>
      <c r="K40" s="85" t="inlineStr">
        <is>
          <t>邮政储蓄银行(0437）</t>
        </is>
      </c>
      <c r="L40" s="88" t="inlineStr">
        <is>
          <t>基本户（5775）</t>
        </is>
      </c>
      <c r="M40" s="85" t="inlineStr">
        <is>
          <t>邮政储蓄银行(0437）</t>
        </is>
      </c>
      <c r="N40" s="85" t="inlineStr">
        <is>
          <t>邮政储蓄银行(0437）</t>
        </is>
      </c>
      <c r="O40" s="88" t="inlineStr">
        <is>
          <t>基本户</t>
        </is>
      </c>
      <c r="P40" s="88" t="inlineStr">
        <is>
          <t>建设银行(7260)</t>
        </is>
      </c>
      <c r="Q40" s="88" t="inlineStr">
        <is>
          <t>建设银行(7260)</t>
        </is>
      </c>
      <c r="R40" s="88" t="inlineStr">
        <is>
          <t>基本户</t>
        </is>
      </c>
      <c r="S40" s="88" t="inlineStr">
        <is>
          <t>基本户</t>
        </is>
      </c>
      <c r="T40" s="88" t="inlineStr">
        <is>
          <t>工商银行(8818)</t>
        </is>
      </c>
      <c r="U40" s="88" t="inlineStr">
        <is>
          <t>农业银行（8379）</t>
        </is>
      </c>
      <c r="V40" s="88" t="inlineStr">
        <is>
          <t>工商银行(8818)</t>
        </is>
      </c>
      <c r="W40" s="88" t="inlineStr">
        <is>
          <t>中国银行(2440)</t>
        </is>
      </c>
      <c r="X40" s="88" t="inlineStr">
        <is>
          <t>基本户</t>
        </is>
      </c>
      <c r="Y40" s="88" t="inlineStr">
        <is>
          <t>基本户</t>
        </is>
      </c>
      <c r="Z40" s="88" t="inlineStr">
        <is>
          <t>招商银行（9493）</t>
        </is>
      </c>
      <c r="AA40" s="88" t="inlineStr">
        <is>
          <t>招商银行（9493）</t>
        </is>
      </c>
      <c r="AB40" s="88" t="inlineStr">
        <is>
          <t>基本户</t>
        </is>
      </c>
      <c r="AC40" s="88" t="inlineStr">
        <is>
          <t>基本户</t>
        </is>
      </c>
      <c r="AD40" s="88" t="inlineStr">
        <is>
          <t>基本户</t>
        </is>
      </c>
      <c r="AE40" s="88" t="inlineStr">
        <is>
          <t>基本户</t>
        </is>
      </c>
      <c r="AF40" s="88" t="inlineStr">
        <is>
          <t>建设银行（8426）</t>
        </is>
      </c>
      <c r="AG40" s="88" t="n"/>
      <c r="AH40" s="88" t="inlineStr">
        <is>
          <t>基本户</t>
        </is>
      </c>
      <c r="AI40" s="88" t="inlineStr">
        <is>
          <t>工商银行(6496)</t>
        </is>
      </c>
      <c r="AJ40" s="88" t="inlineStr">
        <is>
          <t>工商银行(8818)</t>
        </is>
      </c>
      <c r="AK40" s="88" t="inlineStr">
        <is>
          <t>基本户</t>
        </is>
      </c>
      <c r="AL40" s="88" t="n"/>
      <c r="AM40" s="88" t="inlineStr">
        <is>
          <t>招商银行(9493)</t>
        </is>
      </c>
    </row>
    <row r="41" ht="41" customFormat="1" customHeight="1" s="26">
      <c r="A41" s="43" t="inlineStr">
        <is>
          <t>本月可平台提现合计</t>
        </is>
      </c>
      <c r="B41" s="99">
        <f>SUM(C41:AM41)</f>
        <v/>
      </c>
      <c r="C41" s="99">
        <f>C3+C35-C36</f>
        <v/>
      </c>
      <c r="D41" s="99">
        <f>D3+D35-D36</f>
        <v/>
      </c>
      <c r="E41" s="99">
        <f>E3+E35-E36</f>
        <v/>
      </c>
      <c r="F41" s="99">
        <f>F3+F35-F36</f>
        <v/>
      </c>
      <c r="G41" s="99">
        <f>G3+G35-G36</f>
        <v/>
      </c>
      <c r="H41" s="99">
        <f>H3+H35-H36</f>
        <v/>
      </c>
      <c r="I41" s="99">
        <f>I3+I35-I36</f>
        <v/>
      </c>
      <c r="J41" s="99">
        <f>J3+J35-J36</f>
        <v/>
      </c>
      <c r="K41" s="99">
        <f>K3+K35-K36</f>
        <v/>
      </c>
      <c r="L41" s="99">
        <f>L3+L35-L36</f>
        <v/>
      </c>
      <c r="M41" s="99">
        <f>M3+M35-M36</f>
        <v/>
      </c>
      <c r="N41" s="99">
        <f>N3+N35-N36</f>
        <v/>
      </c>
      <c r="O41" s="99">
        <f>O3+O35-O36</f>
        <v/>
      </c>
      <c r="P41" s="99">
        <f>P3+P35-P36</f>
        <v/>
      </c>
      <c r="Q41" s="99">
        <f>Q3+Q35-Q36</f>
        <v/>
      </c>
      <c r="R41" s="99">
        <f>R3+R35-R36</f>
        <v/>
      </c>
      <c r="S41" s="100">
        <f>S3+S35-S36</f>
        <v/>
      </c>
      <c r="T41" s="99">
        <f>T3+T35-T36</f>
        <v/>
      </c>
      <c r="U41" s="99">
        <f>U3+U35-U36</f>
        <v/>
      </c>
      <c r="V41" s="99">
        <f>V3+V35-V36</f>
        <v/>
      </c>
      <c r="W41" s="99">
        <f>W3+W35-W36</f>
        <v/>
      </c>
      <c r="X41" s="99">
        <f>X3+X35-X36</f>
        <v/>
      </c>
      <c r="Y41" s="99">
        <f>Y3+Y35-Y36</f>
        <v/>
      </c>
      <c r="Z41" s="99">
        <f>Z3+Z35-Z36</f>
        <v/>
      </c>
      <c r="AA41" s="99">
        <f>AA3+AA35-AA36</f>
        <v/>
      </c>
      <c r="AB41" s="99">
        <f>AB3+AB35-AB36</f>
        <v/>
      </c>
      <c r="AC41" s="99">
        <f>AC3+AC35-AC36</f>
        <v/>
      </c>
      <c r="AD41" s="99">
        <f>AD3+AD35-AD36</f>
        <v/>
      </c>
      <c r="AE41" s="99">
        <f>AE3+AE35-AE36</f>
        <v/>
      </c>
      <c r="AF41" s="99">
        <f>AF3+AF35-AF36</f>
        <v/>
      </c>
      <c r="AG41" s="99">
        <f>AG3+AG35-AG36</f>
        <v/>
      </c>
      <c r="AH41" s="99">
        <f>AH3+AH35-AH36</f>
        <v/>
      </c>
      <c r="AI41" s="99">
        <f>AI3+AI35-AI36</f>
        <v/>
      </c>
      <c r="AJ41" s="99">
        <f>AJ3+AJ35-AJ36</f>
        <v/>
      </c>
      <c r="AK41" s="99">
        <f>AK3+AK35-AK36</f>
        <v/>
      </c>
      <c r="AL41" s="99">
        <f>AL3+AL35-AL36</f>
        <v/>
      </c>
      <c r="AM41" s="99">
        <f>AM3+AM35-AM36</f>
        <v/>
      </c>
    </row>
    <row r="42">
      <c r="C42" s="27">
        <f>C36=提现记录!B34</f>
        <v/>
      </c>
      <c r="E42" s="27">
        <f>E36=提现记录!D34</f>
        <v/>
      </c>
      <c r="G42" s="27">
        <f>G36=提现记录!F34</f>
        <v/>
      </c>
      <c r="H42" s="27">
        <f>H36=提现记录!G34</f>
        <v/>
      </c>
      <c r="I42" s="27">
        <f>I36=提现记录!H34</f>
        <v/>
      </c>
      <c r="J42" s="27">
        <f>J36=提现记录!I34</f>
        <v/>
      </c>
      <c r="K42" s="27">
        <f>K36=提现记录!J34</f>
        <v/>
      </c>
      <c r="L42" s="27">
        <f>提现记录!K34=L36</f>
        <v/>
      </c>
      <c r="M42" s="27">
        <f>M36=提现记录!L34</f>
        <v/>
      </c>
      <c r="O42" s="27">
        <f>O36=提现记录!N34</f>
        <v/>
      </c>
      <c r="P42" s="27">
        <f>提现记录!O37</f>
        <v/>
      </c>
      <c r="Q42" s="27">
        <f>Q36=提现记录!AG34</f>
        <v/>
      </c>
      <c r="R42" s="11">
        <f>R36=提现记录!Q34</f>
        <v/>
      </c>
      <c r="S42" s="11">
        <f>S36=提现记录!R34</f>
        <v/>
      </c>
      <c r="U42" s="11">
        <f>U36=提现记录!T34</f>
        <v/>
      </c>
      <c r="V42" s="11">
        <f>V36=提现记录!U34</f>
        <v/>
      </c>
      <c r="W42" s="11">
        <f>W36=提现记录!V34</f>
        <v/>
      </c>
      <c r="X42" s="11">
        <f>X36=提现记录!W34</f>
        <v/>
      </c>
      <c r="Y42" s="11">
        <f>Y36=提现记录!X34</f>
        <v/>
      </c>
      <c r="AB42" s="0">
        <f>AB36=提现记录!AA34</f>
        <v/>
      </c>
      <c r="AG42" s="0">
        <f>AG36=提现记录!AF34</f>
        <v/>
      </c>
      <c r="AM42" s="0">
        <f>AM36=提现记录!AL34</f>
        <v/>
      </c>
    </row>
  </sheetData>
  <pageMargins left="0.75" right="0.75" top="1" bottom="1" header="0.5" footer="0.5"/>
  <pageSetup orientation="portrait" paperSize="9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E22" sqref="E22"/>
    </sheetView>
  </sheetViews>
  <sheetFormatPr baseColWidth="8" defaultColWidth="9.025" defaultRowHeight="13.5" outlineLevelCol="0"/>
  <cols>
    <col width="32.8583333333333" customWidth="1" style="82" min="2" max="2"/>
    <col width="20.1666666666667" customWidth="1" style="82" min="3" max="3"/>
    <col width="15.4083333333333" customWidth="1" style="82" min="4" max="4"/>
    <col width="44.7583333333333" customWidth="1" style="82" min="5" max="5"/>
  </cols>
  <sheetData>
    <row r="1" ht="32" customHeight="1" s="82">
      <c r="A1" s="101">
        <f>TODAY()</f>
        <v/>
      </c>
      <c r="B1" s="102" t="n"/>
      <c r="C1" s="102" t="n"/>
      <c r="D1" s="102" t="n"/>
      <c r="E1" s="103" t="n"/>
    </row>
    <row r="2">
      <c r="A2" s="2" t="inlineStr">
        <is>
          <t>序号</t>
        </is>
      </c>
      <c r="B2" s="2" t="inlineStr">
        <is>
          <t>持卡人</t>
        </is>
      </c>
      <c r="C2" s="2" t="inlineStr">
        <is>
          <t>银行信息</t>
        </is>
      </c>
      <c r="D2" s="2" t="inlineStr">
        <is>
          <t>可提现金额</t>
        </is>
      </c>
      <c r="E2" s="2" t="inlineStr">
        <is>
          <t>备注</t>
        </is>
      </c>
    </row>
    <row r="3">
      <c r="A3" s="2" t="n">
        <v>1</v>
      </c>
      <c r="B3" s="2" t="inlineStr">
        <is>
          <t>周振豪</t>
        </is>
      </c>
      <c r="C3" s="2" t="inlineStr">
        <is>
          <t>工商银行(8818)</t>
        </is>
      </c>
      <c r="D3" s="104">
        <f>'日店铺可提现资金明细（可分配）'!C41+'日店铺可提现资金明细（可分配）'!D41+'日店铺可提现资金明细（可分配）'!S41+'日店铺可提现资金明细（可分配）'!T41+'日店铺可提现资金明细（可分配）'!V41+'日店铺可提现资金明细（可分配）'!AJ41</f>
        <v/>
      </c>
      <c r="E3" s="2" t="n"/>
    </row>
    <row r="4">
      <c r="A4" s="105" t="n"/>
      <c r="B4" s="105" t="n"/>
      <c r="C4" s="2" t="inlineStr">
        <is>
          <t>建设银行(7260)</t>
        </is>
      </c>
      <c r="D4" s="104">
        <f>'日店铺可提现资金明细（可分配）'!P41+'日店铺可提现资金明细（可分配）'!Q41</f>
        <v/>
      </c>
      <c r="E4" s="2" t="n"/>
    </row>
    <row r="5">
      <c r="A5" s="2" t="n">
        <v>2</v>
      </c>
      <c r="B5" s="88" t="inlineStr">
        <is>
          <t>杨玉英</t>
        </is>
      </c>
      <c r="C5" s="85" t="inlineStr">
        <is>
          <t>邮政储蓄银行(0437）</t>
        </is>
      </c>
      <c r="D5" s="104">
        <f>'日店铺可提现资金明细（可分配）'!J41+'日店铺可提现资金明细（可分配）'!K41+'日店铺可提现资金明细（可分配）'!M41+'日店铺可提现资金明细（可分配）'!N41+'日店铺可提现资金明细（可分配）'!AG41</f>
        <v/>
      </c>
      <c r="E5" s="2" t="n"/>
    </row>
    <row r="6">
      <c r="A6" s="2" t="n">
        <v>3</v>
      </c>
      <c r="B6" s="2" t="inlineStr">
        <is>
          <t>周景迁</t>
        </is>
      </c>
      <c r="C6" s="2" t="inlineStr">
        <is>
          <t>建设银行(8680)</t>
        </is>
      </c>
      <c r="D6" s="104">
        <f>'日店铺可提现资金明细（可分配）'!R41</f>
        <v/>
      </c>
      <c r="E6" s="2" t="n"/>
    </row>
    <row r="7">
      <c r="A7" s="2" t="n">
        <v>4</v>
      </c>
      <c r="B7" s="2" t="inlineStr">
        <is>
          <t>杨丽燕</t>
        </is>
      </c>
      <c r="C7" s="2" t="inlineStr">
        <is>
          <t>农业银行（8379）</t>
        </is>
      </c>
      <c r="D7" s="104">
        <f>'日店铺可提现资金明细（可分配）'!U41</f>
        <v/>
      </c>
      <c r="E7" s="2" t="n"/>
    </row>
    <row r="8">
      <c r="A8" s="2" t="n">
        <v>5</v>
      </c>
      <c r="B8" s="2" t="inlineStr">
        <is>
          <t>郭海莹</t>
        </is>
      </c>
      <c r="C8" s="2" t="inlineStr">
        <is>
          <t>中国银行(2440)</t>
        </is>
      </c>
      <c r="D8" s="104">
        <f>'日店铺可提现资金明细（可分配）'!W41</f>
        <v/>
      </c>
      <c r="E8" s="2" t="n"/>
    </row>
    <row r="9">
      <c r="A9" s="2" t="n">
        <v>6</v>
      </c>
      <c r="B9" s="2" t="inlineStr">
        <is>
          <t>王琳</t>
        </is>
      </c>
      <c r="C9" s="2" t="inlineStr">
        <is>
          <t>招商银行（9493）</t>
        </is>
      </c>
      <c r="D9" s="104">
        <f>'日店铺可提现资金明细（可分配）'!Z41+'日店铺可提现资金明细（可分配）'!AA41+'日店铺可提现资金明细（可分配）'!AM41</f>
        <v/>
      </c>
      <c r="E9" s="2" t="n"/>
    </row>
    <row r="10">
      <c r="A10" s="2" t="n">
        <v>7</v>
      </c>
      <c r="B10" s="2" t="inlineStr">
        <is>
          <t>周振民</t>
        </is>
      </c>
      <c r="C10" s="2" t="inlineStr">
        <is>
          <t>工商银行(6496)</t>
        </is>
      </c>
      <c r="D10" s="104">
        <f>'日店铺可提现资金明细（可分配）'!AI41</f>
        <v/>
      </c>
      <c r="E10" s="2" t="n"/>
    </row>
    <row r="11">
      <c r="A11" s="2" t="n">
        <v>8</v>
      </c>
      <c r="B11" s="2" t="inlineStr">
        <is>
          <t>王琴</t>
        </is>
      </c>
      <c r="C11" s="2" t="inlineStr">
        <is>
          <t>建设银行（8426）</t>
        </is>
      </c>
      <c r="D11" s="104">
        <f>'日店铺可提现资金明细（可分配）'!AF41</f>
        <v/>
      </c>
      <c r="E11" s="2" t="n"/>
    </row>
    <row r="12">
      <c r="A12" s="2" t="n">
        <v>9</v>
      </c>
      <c r="B12" s="2" t="inlineStr">
        <is>
          <t>珠海市喵范电子商务有限公司</t>
        </is>
      </c>
      <c r="C12" s="2" t="inlineStr">
        <is>
          <t>基本户</t>
        </is>
      </c>
      <c r="D12" s="104">
        <f>'日店铺可提现资金明细（可分配）'!E41+'日店铺可提现资金明细（可分配）'!G41+'日店铺可提现资金明细（可分配）'!H41+'日店铺可提现资金明细（可分配）'!O41+'日店铺可提现资金明细（可分配）'!AH41+'日店铺可提现资金明细（可分配）'!AK41</f>
        <v/>
      </c>
      <c r="E12" s="2" t="n"/>
    </row>
    <row r="13">
      <c r="A13" s="2" t="n">
        <v>10</v>
      </c>
      <c r="B13" s="2" t="inlineStr">
        <is>
          <t>珠海市喵呜潮玩文化创意有限公司</t>
        </is>
      </c>
      <c r="C13" s="2" t="inlineStr">
        <is>
          <t>基本户</t>
        </is>
      </c>
      <c r="D13" s="104">
        <f>'日店铺可提现资金明细（可分配）'!I41</f>
        <v/>
      </c>
      <c r="E13" s="2" t="n"/>
    </row>
    <row r="14">
      <c r="A14" s="2" t="n">
        <v>11</v>
      </c>
      <c r="B14" s="2" t="inlineStr">
        <is>
          <t>珠海市绒绒岛潮玩文化有限公司</t>
        </is>
      </c>
      <c r="C14" s="2" t="inlineStr">
        <is>
          <t>基本户</t>
        </is>
      </c>
      <c r="D14" s="104">
        <f>'日店铺可提现资金明细（可分配）'!L41</f>
        <v/>
      </c>
      <c r="E14" s="2" t="n"/>
    </row>
    <row r="15">
      <c r="A15" s="2" t="n">
        <v>12</v>
      </c>
      <c r="B15" s="2" t="inlineStr">
        <is>
          <t>深圳市奶油免电子商务有限公司</t>
        </is>
      </c>
      <c r="C15" s="2" t="inlineStr">
        <is>
          <t>基本户</t>
        </is>
      </c>
      <c r="D15" s="104">
        <f>'日店铺可提现资金明细（可分配）'!X41+'日店铺可提现资金明细（可分配）'!Y41</f>
        <v/>
      </c>
      <c r="E15" s="2" t="inlineStr">
        <is>
          <t>未开通账号</t>
        </is>
      </c>
    </row>
    <row r="16">
      <c r="A16" s="2" t="inlineStr">
        <is>
          <t>合计</t>
        </is>
      </c>
      <c r="B16" s="102" t="n"/>
      <c r="C16" s="103" t="n"/>
      <c r="D16" s="104">
        <f>SUM(D3:D15)</f>
        <v/>
      </c>
      <c r="E16" s="106">
        <f>D16</f>
        <v/>
      </c>
    </row>
  </sheetData>
  <mergeCells count="4">
    <mergeCell ref="A3:A4"/>
    <mergeCell ref="A1:E1"/>
    <mergeCell ref="B3:B4"/>
    <mergeCell ref="A16:C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3"/>
  <sheetViews>
    <sheetView zoomScale="85" zoomScaleNormal="85" workbookViewId="0">
      <selection activeCell="I17" sqref="I17"/>
    </sheetView>
  </sheetViews>
  <sheetFormatPr baseColWidth="8" defaultColWidth="9.025" defaultRowHeight="13.5" outlineLevelCol="0"/>
  <cols>
    <col width="13.9333333333333" customWidth="1" style="82" min="2" max="2"/>
    <col width="13.4333333333333" customWidth="1" style="11" min="3" max="9"/>
  </cols>
  <sheetData>
    <row r="1" ht="48" customHeight="1" s="82">
      <c r="A1" s="12" t="inlineStr">
        <is>
          <t xml:space="preserve">  公司名称
日期 </t>
        </is>
      </c>
      <c r="B1" s="13" t="inlineStr">
        <is>
          <t>汇总本日余额</t>
        </is>
      </c>
      <c r="C1" s="54" t="inlineStr">
        <is>
          <t>珠海市喵趣文化创意有限公司</t>
        </is>
      </c>
      <c r="D1" s="54" t="inlineStr">
        <is>
          <t>珠海市喵范电子商务有限公司</t>
        </is>
      </c>
      <c r="E1" s="54" t="inlineStr">
        <is>
          <t>珠海市绒绒岛潮玩文化有限公司</t>
        </is>
      </c>
      <c r="F1" s="54" t="inlineStr">
        <is>
          <t>珠海市喵呜潮玩文化创意有限公司</t>
        </is>
      </c>
      <c r="G1" s="54" t="inlineStr">
        <is>
          <t>珠海市星序科技有限公司</t>
        </is>
      </c>
      <c r="H1" s="54" t="inlineStr">
        <is>
          <t>珠海市三棉潮玩文化有限公司</t>
        </is>
      </c>
      <c r="I1" s="54" t="inlineStr">
        <is>
          <t>深圳市萌造社文化创意有限公司</t>
        </is>
      </c>
    </row>
    <row r="2">
      <c r="A2" s="14" t="n">
        <v>46143</v>
      </c>
      <c r="B2" s="88">
        <f>SUM(C2:I2)</f>
        <v/>
      </c>
      <c r="C2" s="107" t="n"/>
      <c r="D2" s="107" t="n"/>
      <c r="E2" s="107" t="n"/>
      <c r="F2" s="107" t="n"/>
      <c r="G2" s="107" t="n"/>
      <c r="H2" s="107" t="n"/>
      <c r="I2" s="107" t="n"/>
    </row>
    <row r="3">
      <c r="A3" s="14" t="n">
        <v>46144</v>
      </c>
      <c r="B3" s="88">
        <f>SUM(C3:I3)</f>
        <v/>
      </c>
      <c r="C3" s="107" t="n"/>
      <c r="D3" s="107" t="n"/>
      <c r="E3" s="107" t="n"/>
      <c r="F3" s="107" t="n"/>
      <c r="G3" s="107" t="n"/>
      <c r="H3" s="107" t="n"/>
      <c r="I3" s="107" t="n"/>
    </row>
    <row r="4">
      <c r="A4" s="14" t="n">
        <v>46145</v>
      </c>
      <c r="B4" s="88">
        <f>SUM(C4:I4)</f>
        <v/>
      </c>
      <c r="C4" s="107" t="n"/>
      <c r="D4" s="107" t="n"/>
      <c r="E4" s="107" t="n"/>
      <c r="F4" s="107" t="n"/>
      <c r="G4" s="107" t="n"/>
      <c r="H4" s="107" t="n"/>
      <c r="I4" s="107" t="n"/>
    </row>
    <row r="5">
      <c r="A5" s="14" t="n">
        <v>46146</v>
      </c>
      <c r="B5" s="88">
        <f>SUM(C5:I5)</f>
        <v/>
      </c>
      <c r="C5" s="107" t="n"/>
      <c r="D5" s="107" t="n"/>
      <c r="E5" s="107" t="n"/>
      <c r="F5" s="107" t="n"/>
      <c r="G5" s="107" t="n"/>
      <c r="H5" s="107" t="n"/>
      <c r="I5" s="107" t="n"/>
    </row>
    <row r="6">
      <c r="A6" s="14" t="n">
        <v>46147</v>
      </c>
      <c r="B6" s="88">
        <f>SUM(C6:I6)</f>
        <v/>
      </c>
      <c r="C6" s="107" t="n"/>
      <c r="D6" s="107" t="n"/>
      <c r="E6" s="107" t="n"/>
      <c r="F6" s="107" t="n"/>
      <c r="G6" s="107" t="n"/>
      <c r="H6" s="107" t="n"/>
      <c r="I6" s="107" t="n"/>
    </row>
    <row r="7">
      <c r="A7" s="14" t="n">
        <v>46148</v>
      </c>
      <c r="B7" s="88">
        <f>SUM(C7:I7)</f>
        <v/>
      </c>
      <c r="C7" s="107" t="n"/>
      <c r="D7" s="107" t="n"/>
      <c r="E7" s="107" t="n"/>
      <c r="F7" s="107" t="n"/>
      <c r="G7" s="107" t="n"/>
      <c r="H7" s="107" t="n"/>
      <c r="I7" s="107" t="n"/>
    </row>
    <row r="8">
      <c r="A8" s="14" t="n">
        <v>46149</v>
      </c>
      <c r="B8" s="88">
        <f>SUM(C8:I8)</f>
        <v/>
      </c>
      <c r="C8" s="107" t="n"/>
      <c r="D8" s="107" t="n"/>
      <c r="E8" s="107" t="n"/>
      <c r="F8" s="107" t="n"/>
      <c r="G8" s="107" t="n"/>
      <c r="H8" s="107" t="n"/>
      <c r="I8" s="107" t="n"/>
    </row>
    <row r="9">
      <c r="A9" s="14" t="n">
        <v>46150</v>
      </c>
      <c r="B9" s="88">
        <f>SUM(C9:I9)</f>
        <v/>
      </c>
      <c r="C9" s="107" t="n"/>
      <c r="D9" s="107" t="n"/>
      <c r="E9" s="107" t="n"/>
      <c r="F9" s="107" t="n"/>
      <c r="G9" s="107" t="n"/>
      <c r="H9" s="107" t="n"/>
      <c r="I9" s="107" t="n"/>
    </row>
    <row r="10">
      <c r="A10" s="14" t="n">
        <v>46151</v>
      </c>
      <c r="B10" s="88">
        <f>SUM(C10:I10)</f>
        <v/>
      </c>
      <c r="C10" s="107" t="n"/>
      <c r="D10" s="107" t="n"/>
      <c r="E10" s="107" t="n"/>
      <c r="F10" s="107" t="n"/>
      <c r="G10" s="107" t="n"/>
      <c r="H10" s="107" t="n"/>
      <c r="I10" s="107" t="n"/>
    </row>
    <row r="11">
      <c r="A11" s="14" t="n">
        <v>46152</v>
      </c>
      <c r="B11" s="88">
        <f>SUM(C11:I11)</f>
        <v/>
      </c>
      <c r="C11" s="107" t="n"/>
      <c r="D11" s="107" t="n"/>
      <c r="E11" s="107" t="n"/>
      <c r="F11" s="107" t="n"/>
      <c r="G11" s="107" t="n"/>
      <c r="H11" s="107" t="n"/>
      <c r="I11" s="107" t="n"/>
    </row>
    <row r="12">
      <c r="A12" s="14" t="n">
        <v>46153</v>
      </c>
      <c r="B12" s="88">
        <f>SUM(C12:I12)</f>
        <v/>
      </c>
      <c r="C12" s="107" t="n"/>
      <c r="D12" s="107" t="n"/>
      <c r="E12" s="107" t="n"/>
      <c r="F12" s="107" t="n"/>
      <c r="G12" s="107" t="n"/>
      <c r="H12" s="107" t="n"/>
      <c r="I12" s="107" t="n"/>
    </row>
    <row r="13">
      <c r="A13" s="14" t="n">
        <v>46154</v>
      </c>
      <c r="B13" s="88">
        <f>SUM(C13:I13)</f>
        <v/>
      </c>
      <c r="C13" s="107" t="n"/>
      <c r="D13" s="107" t="n"/>
      <c r="E13" s="107" t="n"/>
      <c r="F13" s="107" t="n"/>
      <c r="G13" s="107" t="n"/>
      <c r="H13" s="107" t="n"/>
      <c r="I13" s="107" t="n"/>
    </row>
    <row r="14">
      <c r="A14" s="14" t="n">
        <v>46155</v>
      </c>
      <c r="B14" s="88">
        <f>SUM(C14:I14)</f>
        <v/>
      </c>
      <c r="C14" s="107" t="n"/>
      <c r="D14" s="107" t="n"/>
      <c r="E14" s="107" t="n"/>
      <c r="F14" s="107" t="n"/>
      <c r="G14" s="107" t="n"/>
      <c r="H14" s="107" t="n"/>
      <c r="I14" s="107" t="n"/>
    </row>
    <row r="15">
      <c r="A15" s="14" t="n">
        <v>46156</v>
      </c>
      <c r="B15" s="88">
        <f>SUM(C15:I15)</f>
        <v/>
      </c>
      <c r="C15" s="107" t="n"/>
      <c r="D15" s="107" t="n"/>
      <c r="E15" s="107" t="n"/>
      <c r="F15" s="107" t="n"/>
      <c r="G15" s="107" t="n"/>
      <c r="H15" s="107" t="n"/>
      <c r="I15" s="107" t="n"/>
    </row>
    <row r="16">
      <c r="A16" s="14" t="n">
        <v>46157</v>
      </c>
      <c r="B16" s="88">
        <f>SUM(C16:I16)</f>
        <v/>
      </c>
      <c r="C16" s="107" t="n"/>
      <c r="D16" s="107" t="n"/>
      <c r="E16" s="107" t="n"/>
      <c r="F16" s="107" t="n"/>
      <c r="G16" s="107" t="n"/>
      <c r="H16" s="107" t="n"/>
      <c r="I16" s="107" t="n"/>
    </row>
    <row r="17">
      <c r="A17" s="14" t="n">
        <v>46158</v>
      </c>
      <c r="B17" s="88">
        <f>SUM(C17:I17)</f>
        <v/>
      </c>
      <c r="C17" s="107" t="n"/>
      <c r="D17" s="107" t="n"/>
      <c r="E17" s="107" t="n"/>
      <c r="F17" s="107" t="n"/>
      <c r="G17" s="107" t="n"/>
      <c r="H17" s="107" t="n"/>
      <c r="I17" s="107" t="n"/>
    </row>
    <row r="18">
      <c r="A18" s="14" t="n">
        <v>46159</v>
      </c>
      <c r="B18" s="88">
        <f>SUM(C18:I18)</f>
        <v/>
      </c>
      <c r="C18" s="107" t="n"/>
      <c r="D18" s="107" t="n"/>
      <c r="E18" s="107" t="n"/>
      <c r="F18" s="107" t="n"/>
      <c r="G18" s="107" t="n"/>
      <c r="H18" s="107" t="n"/>
      <c r="I18" s="107" t="n"/>
    </row>
    <row r="19">
      <c r="A19" s="14" t="n">
        <v>46160</v>
      </c>
      <c r="B19" s="88">
        <f>SUM(C19:I19)</f>
        <v/>
      </c>
      <c r="C19" s="107" t="n"/>
      <c r="D19" s="107" t="n"/>
      <c r="E19" s="107" t="n"/>
      <c r="F19" s="107" t="n"/>
      <c r="G19" s="107" t="n"/>
      <c r="H19" s="107" t="n"/>
      <c r="I19" s="107" t="n"/>
    </row>
    <row r="20">
      <c r="A20" s="14" t="n">
        <v>46161</v>
      </c>
      <c r="B20" s="88">
        <f>SUM(C20:I20)</f>
        <v/>
      </c>
      <c r="C20" s="107" t="n"/>
      <c r="D20" s="107" t="n"/>
      <c r="E20" s="107" t="n"/>
      <c r="F20" s="107" t="n"/>
      <c r="G20" s="107" t="n"/>
      <c r="H20" s="107" t="n"/>
      <c r="I20" s="107" t="n"/>
    </row>
    <row r="21">
      <c r="A21" s="14" t="n">
        <v>46162</v>
      </c>
      <c r="B21" s="88">
        <f>SUM(C21:I21)</f>
        <v/>
      </c>
      <c r="C21" s="107" t="n">
        <v>565.75</v>
      </c>
      <c r="D21" s="107">
        <f>150395.07+80000-224791.86</f>
        <v/>
      </c>
      <c r="E21" s="107" t="n">
        <v>22.63</v>
      </c>
      <c r="F21" s="107" t="n">
        <v>0</v>
      </c>
      <c r="G21" s="107" t="n">
        <v>1872.9</v>
      </c>
      <c r="H21" s="107" t="n">
        <v>0</v>
      </c>
      <c r="I21" s="107" t="n">
        <v>0</v>
      </c>
    </row>
    <row r="22">
      <c r="A22" s="14" t="n">
        <v>46163</v>
      </c>
      <c r="B22" s="88">
        <f>SUM(C22:I22)</f>
        <v/>
      </c>
      <c r="C22" s="107" t="n"/>
      <c r="D22" s="107" t="n"/>
      <c r="E22" s="107" t="n"/>
      <c r="F22" s="107" t="n"/>
      <c r="G22" s="107" t="n"/>
      <c r="H22" s="107" t="n"/>
      <c r="I22" s="107" t="n"/>
    </row>
    <row r="23">
      <c r="A23" s="14" t="n">
        <v>46164</v>
      </c>
      <c r="B23" s="88">
        <f>SUM(C23:I23)</f>
        <v/>
      </c>
      <c r="C23" s="107" t="n"/>
      <c r="D23" s="107" t="n"/>
      <c r="E23" s="107" t="n"/>
      <c r="F23" s="107" t="n"/>
      <c r="G23" s="107" t="n"/>
      <c r="H23" s="107" t="n"/>
      <c r="I23" s="107" t="n"/>
    </row>
    <row r="24">
      <c r="A24" s="14" t="n">
        <v>46165</v>
      </c>
      <c r="B24" s="88">
        <f>SUM(C24:I24)</f>
        <v/>
      </c>
      <c r="C24" s="107" t="n"/>
      <c r="D24" s="107" t="n"/>
      <c r="E24" s="107" t="n"/>
      <c r="F24" s="107" t="n"/>
      <c r="G24" s="107" t="n"/>
      <c r="H24" s="107" t="n"/>
      <c r="I24" s="107" t="n"/>
    </row>
    <row r="25">
      <c r="A25" s="14" t="n">
        <v>46166</v>
      </c>
      <c r="B25" s="88">
        <f>SUM(C25:I25)</f>
        <v/>
      </c>
      <c r="C25" s="107" t="n"/>
      <c r="D25" s="107" t="n"/>
      <c r="E25" s="107" t="n"/>
      <c r="F25" s="107" t="n"/>
      <c r="G25" s="107" t="n"/>
      <c r="H25" s="107" t="n"/>
      <c r="I25" s="107" t="n"/>
    </row>
    <row r="26">
      <c r="A26" s="14" t="n">
        <v>46167</v>
      </c>
      <c r="B26" s="88">
        <f>SUM(C26:I26)</f>
        <v/>
      </c>
      <c r="C26" s="107" t="n"/>
      <c r="D26" s="107" t="n"/>
      <c r="E26" s="107" t="n"/>
      <c r="F26" s="107" t="n"/>
      <c r="G26" s="107" t="n"/>
      <c r="H26" s="107" t="n"/>
      <c r="I26" s="107" t="n"/>
    </row>
    <row r="27">
      <c r="A27" s="14" t="n">
        <v>46168</v>
      </c>
      <c r="B27" s="88">
        <f>SUM(C27:I27)</f>
        <v/>
      </c>
      <c r="C27" s="107" t="n"/>
      <c r="D27" s="107" t="n"/>
      <c r="E27" s="107" t="n"/>
      <c r="F27" s="107" t="n"/>
      <c r="G27" s="107" t="n"/>
      <c r="H27" s="107" t="n"/>
      <c r="I27" s="107" t="n"/>
    </row>
    <row r="28">
      <c r="A28" s="14" t="n">
        <v>46169</v>
      </c>
      <c r="B28" s="88">
        <f>SUM(C28:I28)</f>
        <v/>
      </c>
      <c r="C28" s="107" t="n"/>
      <c r="D28" s="107" t="n"/>
      <c r="E28" s="107" t="n"/>
      <c r="F28" s="107" t="n"/>
      <c r="G28" s="107" t="n"/>
      <c r="H28" s="107" t="n"/>
      <c r="I28" s="107" t="n"/>
    </row>
    <row r="29">
      <c r="A29" s="14" t="n">
        <v>46170</v>
      </c>
      <c r="B29" s="88">
        <f>SUM(C29:I29)</f>
        <v/>
      </c>
      <c r="C29" s="107" t="n"/>
      <c r="D29" s="107" t="n"/>
      <c r="E29" s="107" t="n"/>
      <c r="F29" s="107" t="n"/>
      <c r="G29" s="107" t="n"/>
      <c r="H29" s="107" t="n"/>
      <c r="I29" s="107" t="n"/>
    </row>
    <row r="30">
      <c r="A30" s="14" t="n">
        <v>46171</v>
      </c>
      <c r="B30" s="88">
        <f>SUM(C30:I30)</f>
        <v/>
      </c>
      <c r="C30" s="107" t="n"/>
      <c r="D30" s="107" t="n"/>
      <c r="E30" s="107" t="n"/>
      <c r="F30" s="107" t="n"/>
      <c r="G30" s="107" t="n"/>
      <c r="H30" s="107" t="n"/>
      <c r="I30" s="107" t="n"/>
    </row>
    <row r="31">
      <c r="A31" s="14" t="n">
        <v>46172</v>
      </c>
      <c r="B31" s="88">
        <f>SUM(C31:I31)</f>
        <v/>
      </c>
      <c r="C31" s="107" t="n"/>
      <c r="D31" s="107" t="n"/>
      <c r="E31" s="107" t="n"/>
      <c r="F31" s="107" t="n"/>
      <c r="G31" s="107" t="n"/>
      <c r="H31" s="107" t="n"/>
      <c r="I31" s="107" t="n"/>
    </row>
    <row r="32">
      <c r="A32" s="14" t="n">
        <v>46173</v>
      </c>
      <c r="B32" s="88">
        <f>SUM(C32:I32)</f>
        <v/>
      </c>
      <c r="C32" s="107" t="n"/>
      <c r="D32" s="107" t="n"/>
      <c r="E32" s="107" t="n"/>
      <c r="F32" s="107" t="n"/>
      <c r="G32" s="107" t="n"/>
      <c r="H32" s="107" t="n"/>
      <c r="I32" s="107" t="n"/>
    </row>
    <row r="33">
      <c r="A33" s="16" t="n"/>
      <c r="B33" s="17">
        <f>SUM(B21:B32)</f>
        <v/>
      </c>
      <c r="C33" s="17">
        <f>SUM(C21:C32)</f>
        <v/>
      </c>
      <c r="D33" s="17">
        <f>SUM(D21:D32)</f>
        <v/>
      </c>
      <c r="E33" s="17">
        <f>SUM(E21:E32)</f>
        <v/>
      </c>
      <c r="F33" s="17">
        <f>SUM(F21:F32)</f>
        <v/>
      </c>
      <c r="G33" s="17">
        <f>SUM(G21:G32)</f>
        <v/>
      </c>
      <c r="H33" s="17">
        <f>SUM(H21:H32)</f>
        <v/>
      </c>
      <c r="I33" s="17">
        <f>SUM(I21:I32)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D36" sqref="D36"/>
    </sheetView>
  </sheetViews>
  <sheetFormatPr baseColWidth="8" defaultColWidth="9.025" defaultRowHeight="13.5" outlineLevelCol="0"/>
  <cols>
    <col width="7.31666666666667" customWidth="1" style="82" min="1" max="1"/>
    <col width="32.8583333333333" customWidth="1" style="82" min="2" max="2"/>
    <col width="19.5166666666667" customWidth="1" style="82" min="3" max="3"/>
    <col width="15.4083333333333" customWidth="1" style="82" min="4" max="4"/>
    <col width="40.1666666666667" customWidth="1" style="82" min="5" max="5"/>
  </cols>
  <sheetData>
    <row r="1" ht="18.75" customHeight="1" s="82">
      <c r="A1" s="101">
        <f>TODAY()</f>
        <v/>
      </c>
      <c r="B1" s="102" t="n"/>
      <c r="C1" s="102" t="n"/>
      <c r="D1" s="102" t="n"/>
      <c r="E1" s="103" t="n"/>
    </row>
    <row r="2">
      <c r="A2" s="2" t="inlineStr">
        <is>
          <t>分类</t>
        </is>
      </c>
      <c r="B2" s="2" t="inlineStr">
        <is>
          <t>账号信息</t>
        </is>
      </c>
      <c r="C2" s="2" t="inlineStr">
        <is>
          <t>银行信息</t>
        </is>
      </c>
      <c r="D2" s="2" t="inlineStr">
        <is>
          <t>可提现金额</t>
        </is>
      </c>
      <c r="E2" s="2" t="inlineStr">
        <is>
          <t>备注</t>
        </is>
      </c>
    </row>
    <row r="3">
      <c r="A3" s="2" t="inlineStr">
        <is>
          <t>平台</t>
        </is>
      </c>
      <c r="B3" s="2" t="inlineStr">
        <is>
          <t>周振豪</t>
        </is>
      </c>
      <c r="C3" s="2" t="inlineStr">
        <is>
          <t>工商银行(8818)</t>
        </is>
      </c>
      <c r="D3" s="104">
        <f>'日店铺可提现资金明细（可分配）'!C41+'日店铺可提现资金明细（可分配）'!D41+'日店铺可提现资金明细（可分配）'!S41+'日店铺可提现资金明细（可分配）'!T41+'日店铺可提现资金明细（可分配）'!V41+'日店铺可提现资金明细（可分配）'!AJ41</f>
        <v/>
      </c>
      <c r="E3" s="2" t="n"/>
    </row>
    <row r="4">
      <c r="A4" s="2" t="inlineStr">
        <is>
          <t>平台</t>
        </is>
      </c>
      <c r="B4" s="105" t="n"/>
      <c r="C4" s="2" t="inlineStr">
        <is>
          <t>建设银行(7260)</t>
        </is>
      </c>
      <c r="D4" s="104">
        <f>'日店铺可提现资金明细（可分配）'!P41+'日店铺可提现资金明细（可分配）'!Q41</f>
        <v/>
      </c>
      <c r="E4" s="2" t="n"/>
    </row>
    <row r="5">
      <c r="A5" s="2" t="inlineStr">
        <is>
          <t>平台</t>
        </is>
      </c>
      <c r="B5" s="88" t="inlineStr">
        <is>
          <t>杨玉英</t>
        </is>
      </c>
      <c r="C5" s="85" t="inlineStr">
        <is>
          <t>邮政储蓄银行(0437）</t>
        </is>
      </c>
      <c r="D5" s="104">
        <f>'日店铺可提现资金明细（可分配）'!J41+'日店铺可提现资金明细（可分配）'!K41+'日店铺可提现资金明细（可分配）'!M41+'日店铺可提现资金明细（可分配）'!N41+'日店铺可提现资金明细（可分配）'!AG41</f>
        <v/>
      </c>
      <c r="E5" s="2" t="n"/>
    </row>
    <row r="6">
      <c r="A6" s="2" t="inlineStr">
        <is>
          <t>平台</t>
        </is>
      </c>
      <c r="B6" s="2" t="inlineStr">
        <is>
          <t>周景迁</t>
        </is>
      </c>
      <c r="C6" s="2" t="inlineStr">
        <is>
          <t>建设银行(8680)</t>
        </is>
      </c>
      <c r="D6" s="104">
        <f>'日店铺可提现资金明细（可分配）'!R41</f>
        <v/>
      </c>
      <c r="E6" s="2" t="n"/>
    </row>
    <row r="7">
      <c r="A7" s="2" t="inlineStr">
        <is>
          <t>平台</t>
        </is>
      </c>
      <c r="B7" s="2" t="inlineStr">
        <is>
          <t>杨丽燕</t>
        </is>
      </c>
      <c r="C7" s="2" t="inlineStr">
        <is>
          <t>农业银行（8379）</t>
        </is>
      </c>
      <c r="D7" s="104">
        <f>'日店铺可提现资金明细（可分配）'!U41</f>
        <v/>
      </c>
      <c r="E7" s="2" t="n"/>
    </row>
    <row r="8">
      <c r="A8" s="2" t="inlineStr">
        <is>
          <t>平台</t>
        </is>
      </c>
      <c r="B8" s="2" t="inlineStr">
        <is>
          <t>郭海莹</t>
        </is>
      </c>
      <c r="C8" s="2" t="inlineStr">
        <is>
          <t>中国银行(2440)</t>
        </is>
      </c>
      <c r="D8" s="104">
        <f>'日店铺可提现资金明细（可分配）'!W41</f>
        <v/>
      </c>
      <c r="E8" s="2" t="n"/>
    </row>
    <row r="9">
      <c r="A9" s="2" t="inlineStr">
        <is>
          <t>平台</t>
        </is>
      </c>
      <c r="B9" s="2" t="inlineStr">
        <is>
          <t>王琳</t>
        </is>
      </c>
      <c r="C9" s="2" t="inlineStr">
        <is>
          <t>招商银行（9493）</t>
        </is>
      </c>
      <c r="D9" s="104">
        <f>'日店铺可提现资金明细（可分配）'!Z41+'日店铺可提现资金明细（可分配）'!AA41+'日店铺可提现资金明细（可分配）'!AM41</f>
        <v/>
      </c>
      <c r="E9" s="2" t="n"/>
    </row>
    <row r="10">
      <c r="A10" s="2" t="inlineStr">
        <is>
          <t>平台</t>
        </is>
      </c>
      <c r="B10" s="2" t="inlineStr">
        <is>
          <t>周振民</t>
        </is>
      </c>
      <c r="C10" s="2" t="inlineStr">
        <is>
          <t>工商银行(6496)</t>
        </is>
      </c>
      <c r="D10" s="104">
        <f>'日店铺可提现资金明细（可分配）'!AI41</f>
        <v/>
      </c>
      <c r="E10" s="2" t="n"/>
    </row>
    <row r="11">
      <c r="A11" s="2" t="inlineStr">
        <is>
          <t>平台</t>
        </is>
      </c>
      <c r="B11" s="2" t="inlineStr">
        <is>
          <t>王琴</t>
        </is>
      </c>
      <c r="C11" s="2" t="inlineStr">
        <is>
          <t>建设银行（8426）</t>
        </is>
      </c>
      <c r="D11" s="104">
        <f>'日店铺可提现资金明细（可分配）'!AF41</f>
        <v/>
      </c>
      <c r="E11" s="2" t="n"/>
    </row>
    <row r="12">
      <c r="A12" s="2" t="inlineStr">
        <is>
          <t>平台</t>
        </is>
      </c>
      <c r="B12" s="2" t="inlineStr">
        <is>
          <t>珠海市喵范电子商务有限公司</t>
        </is>
      </c>
      <c r="C12" s="2" t="inlineStr">
        <is>
          <t>基本户</t>
        </is>
      </c>
      <c r="D12" s="104">
        <f>'日店铺可提现资金明细（可分配）'!E41+'日店铺可提现资金明细（可分配）'!G41+'日店铺可提现资金明细（可分配）'!H41+'日店铺可提现资金明细（可分配）'!O41+'日店铺可提现资金明细（可分配）'!AH41+'日店铺可提现资金明细（可分配）'!AK41</f>
        <v/>
      </c>
      <c r="E12" s="2" t="n"/>
    </row>
    <row r="13">
      <c r="A13" s="2" t="inlineStr">
        <is>
          <t>平台</t>
        </is>
      </c>
      <c r="B13" s="2" t="inlineStr">
        <is>
          <t>珠海市喵呜潮玩文化创意有限公司</t>
        </is>
      </c>
      <c r="C13" s="2" t="inlineStr">
        <is>
          <t>基本户</t>
        </is>
      </c>
      <c r="D13" s="104">
        <f>'日店铺可提现资金明细（可分配）'!I41</f>
        <v/>
      </c>
      <c r="E13" s="2" t="n"/>
    </row>
    <row r="14">
      <c r="A14" s="2" t="inlineStr">
        <is>
          <t>平台</t>
        </is>
      </c>
      <c r="B14" s="2" t="inlineStr">
        <is>
          <t>珠海市绒绒岛潮玩文化有限公司</t>
        </is>
      </c>
      <c r="C14" s="2" t="inlineStr">
        <is>
          <t>基本户</t>
        </is>
      </c>
      <c r="D14" s="104">
        <f>'日店铺可提现资金明细（可分配）'!L41</f>
        <v/>
      </c>
      <c r="E14" s="2" t="n"/>
    </row>
    <row r="15">
      <c r="A15" s="2" t="inlineStr">
        <is>
          <t>平台</t>
        </is>
      </c>
      <c r="B15" s="2" t="inlineStr">
        <is>
          <t>深圳市奶油免电子商务有限公司</t>
        </is>
      </c>
      <c r="C15" s="2" t="inlineStr">
        <is>
          <t>基本户</t>
        </is>
      </c>
      <c r="D15" s="104">
        <f>'日店铺可提现资金明细（可分配）'!X41+'日店铺可提现资金明细（可分配）'!Y41</f>
        <v/>
      </c>
      <c r="E15" s="2" t="inlineStr">
        <is>
          <t>未开通账号</t>
        </is>
      </c>
    </row>
    <row r="16">
      <c r="A16" s="6" t="inlineStr">
        <is>
          <t>基本户</t>
        </is>
      </c>
      <c r="B16" s="54" t="inlineStr">
        <is>
          <t>珠海市喵趣文化创意有限公司</t>
        </is>
      </c>
      <c r="C16" s="8" t="inlineStr">
        <is>
          <t>公户</t>
        </is>
      </c>
      <c r="D16" s="104">
        <f>对公账号收款明细!C33</f>
        <v/>
      </c>
      <c r="E16" s="2" t="n"/>
    </row>
    <row r="17">
      <c r="A17" s="6" t="inlineStr">
        <is>
          <t>基本户</t>
        </is>
      </c>
      <c r="B17" s="54" t="inlineStr">
        <is>
          <t>珠海市喵范电子商务有限公司</t>
        </is>
      </c>
      <c r="C17" s="8" t="inlineStr">
        <is>
          <t>公户</t>
        </is>
      </c>
      <c r="D17" s="104">
        <f>对公账号收款明细!D33</f>
        <v/>
      </c>
      <c r="E17" s="2" t="n"/>
    </row>
    <row r="18">
      <c r="A18" s="6" t="inlineStr">
        <is>
          <t>基本户</t>
        </is>
      </c>
      <c r="B18" s="54" t="inlineStr">
        <is>
          <t>珠海市绒绒岛潮玩文化有限公司</t>
        </is>
      </c>
      <c r="C18" s="8" t="inlineStr">
        <is>
          <t>公户</t>
        </is>
      </c>
      <c r="D18" s="104">
        <f>对公账号收款明细!E33</f>
        <v/>
      </c>
      <c r="E18" s="2" t="n"/>
    </row>
    <row r="19">
      <c r="A19" s="6" t="inlineStr">
        <is>
          <t>基本户</t>
        </is>
      </c>
      <c r="B19" s="54" t="inlineStr">
        <is>
          <t>珠海市喵呜潮玩文化创意有限公司</t>
        </is>
      </c>
      <c r="C19" s="8" t="inlineStr">
        <is>
          <t>公户</t>
        </is>
      </c>
      <c r="D19" s="104">
        <f>对公账号收款明细!F33</f>
        <v/>
      </c>
      <c r="E19" s="2" t="n"/>
    </row>
    <row r="20">
      <c r="A20" s="6" t="inlineStr">
        <is>
          <t>基本户</t>
        </is>
      </c>
      <c r="B20" s="54" t="inlineStr">
        <is>
          <t>珠海市星序科技有限公司</t>
        </is>
      </c>
      <c r="C20" s="8" t="inlineStr">
        <is>
          <t>公户</t>
        </is>
      </c>
      <c r="D20" s="104">
        <f>对公账号收款明细!G33</f>
        <v/>
      </c>
      <c r="E20" s="2" t="n"/>
    </row>
    <row r="21">
      <c r="A21" s="6" t="inlineStr">
        <is>
          <t>基本户</t>
        </is>
      </c>
      <c r="B21" s="54" t="inlineStr">
        <is>
          <t>珠海市三棉潮玩文化有限公司</t>
        </is>
      </c>
      <c r="C21" s="8" t="inlineStr">
        <is>
          <t>公户</t>
        </is>
      </c>
      <c r="D21" s="104">
        <f>对公账号收款明细!H33</f>
        <v/>
      </c>
      <c r="E21" s="2" t="n"/>
    </row>
    <row r="22">
      <c r="A22" s="6" t="inlineStr">
        <is>
          <t>基本户</t>
        </is>
      </c>
      <c r="B22" s="54" t="inlineStr">
        <is>
          <t>深圳市萌造社文化创意有限公司</t>
        </is>
      </c>
      <c r="C22" s="8" t="inlineStr">
        <is>
          <t>公户</t>
        </is>
      </c>
      <c r="D22" s="104">
        <f>对公账号收款明细!I33</f>
        <v/>
      </c>
      <c r="E22" s="2" t="n"/>
    </row>
    <row r="23">
      <c r="A23" s="8" t="n"/>
      <c r="B23" s="102" t="n"/>
      <c r="C23" s="103" t="n"/>
      <c r="D23" s="104">
        <f>SUM(D3:D22)</f>
        <v/>
      </c>
      <c r="E23" s="106">
        <f>D23</f>
        <v/>
      </c>
    </row>
    <row r="25">
      <c r="B25" s="0" t="inlineStr">
        <is>
          <t>分类</t>
        </is>
      </c>
      <c r="C25" s="0" t="inlineStr">
        <is>
          <t>求和项:可提现金额</t>
        </is>
      </c>
    </row>
    <row r="26">
      <c r="B26" s="0" t="inlineStr">
        <is>
          <t>基本户</t>
        </is>
      </c>
      <c r="C26" s="108" t="n">
        <v>8064.49000000002</v>
      </c>
    </row>
    <row r="27">
      <c r="B27" s="0" t="inlineStr">
        <is>
          <t>平台</t>
        </is>
      </c>
      <c r="C27" s="108" t="n">
        <v>886906.532999999</v>
      </c>
    </row>
    <row r="28">
      <c r="B28" s="0" t="inlineStr">
        <is>
          <t>总计</t>
        </is>
      </c>
      <c r="C28" s="108" t="n">
        <v>894971.022999999</v>
      </c>
    </row>
  </sheetData>
  <mergeCells count="3">
    <mergeCell ref="A23:C23"/>
    <mergeCell ref="A1:E1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74428</dc:creator>
  <dcterms:created xsi:type="dcterms:W3CDTF">2026-05-14T01:51:00Z</dcterms:created>
  <dcterms:modified xsi:type="dcterms:W3CDTF">2026-06-01T08:51:22Z</dcterms:modified>
  <cp:lastModifiedBy>WPS_1747029996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FAE8B55456D2486F807A7E5A81296D1D_13</vt:lpwstr>
  </property>
  <property name="KSOReadingLayout" fmtid="{D5CDD505-2E9C-101B-9397-08002B2CF9AE}" pid="3">
    <vt:bool>1</vt:bool>
  </property>
  <property name="KSOProductBuildVer" fmtid="{D5CDD505-2E9C-101B-9397-08002B2CF9AE}" pid="4">
    <vt:lpwstr>2052-12.1.0.26375</vt:lpwstr>
  </property>
  <property name="CalculationRule" fmtid="{D5CDD505-2E9C-101B-9397-08002B2CF9AE}" pid="5">
    <vt:i4>1</vt:i4>
  </property>
</Properties>
</file>